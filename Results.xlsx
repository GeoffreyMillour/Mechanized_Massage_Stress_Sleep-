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f71900106b3d49e/Bescored/Etudes/LPG/Article/BMC/"/>
    </mc:Choice>
  </mc:AlternateContent>
  <xr:revisionPtr revIDLastSave="611" documentId="11_AD4D9D64A577C15A4A5418E6989874705ADEDD8A" xr6:coauthVersionLast="47" xr6:coauthVersionMax="47" xr10:uidLastSave="{1A8115AE-FF69-4CA4-A199-DCE8FDC8E1C7}"/>
  <bookViews>
    <workbookView xWindow="28680" yWindow="-120" windowWidth="38640" windowHeight="21120" xr2:uid="{00000000-000D-0000-FFFF-FFFF00000000}"/>
  </bookViews>
  <sheets>
    <sheet name="Characteristics" sheetId="2" r:id="rId1"/>
    <sheet name="Cortisol" sheetId="1" r:id="rId2"/>
    <sheet name="Actimetry" sheetId="3" r:id="rId3"/>
    <sheet name="Questionnaires" sheetId="4" r:id="rId4"/>
    <sheet name="HRV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G15" i="5"/>
  <c r="F17" i="5" s="1"/>
  <c r="F16" i="5"/>
  <c r="F15" i="5"/>
  <c r="C19" i="5"/>
  <c r="B19" i="5"/>
  <c r="C18" i="5"/>
  <c r="B20" i="5" s="1"/>
  <c r="B18" i="5"/>
  <c r="P25" i="4" l="1"/>
  <c r="AH24" i="4"/>
  <c r="AH22" i="4"/>
  <c r="AH28" i="4"/>
  <c r="P29" i="4"/>
  <c r="P27" i="4"/>
  <c r="P23" i="4"/>
  <c r="T19" i="4"/>
  <c r="T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C21" i="1"/>
  <c r="D21" i="1"/>
  <c r="E21" i="1"/>
  <c r="B21" i="1"/>
  <c r="C20" i="1"/>
  <c r="D20" i="1"/>
  <c r="E20" i="1"/>
  <c r="B20" i="1"/>
  <c r="P21" i="4"/>
  <c r="O21" i="4"/>
  <c r="N21" i="4"/>
  <c r="M21" i="4"/>
  <c r="P20" i="4"/>
  <c r="O20" i="4"/>
  <c r="N20" i="4"/>
  <c r="M20" i="4"/>
  <c r="L21" i="4"/>
  <c r="L20" i="4"/>
  <c r="K21" i="4"/>
  <c r="J21" i="4"/>
  <c r="K20" i="4"/>
  <c r="J20" i="4"/>
  <c r="I21" i="4"/>
  <c r="H21" i="4"/>
  <c r="G21" i="4"/>
  <c r="F21" i="4"/>
  <c r="I20" i="4"/>
  <c r="H20" i="4"/>
  <c r="G20" i="4"/>
  <c r="F20" i="4"/>
  <c r="E21" i="4"/>
  <c r="E20" i="4"/>
  <c r="D21" i="4"/>
  <c r="D20" i="4"/>
  <c r="C21" i="4"/>
  <c r="C20" i="4"/>
  <c r="B21" i="4"/>
  <c r="B20" i="4"/>
  <c r="B19" i="3"/>
  <c r="C19" i="3"/>
  <c r="D19" i="3"/>
  <c r="E19" i="3"/>
  <c r="H19" i="3"/>
  <c r="I19" i="3"/>
  <c r="J19" i="3"/>
  <c r="K19" i="3"/>
  <c r="N19" i="3"/>
  <c r="O19" i="3"/>
  <c r="P19" i="3"/>
  <c r="Q19" i="3"/>
  <c r="T19" i="3"/>
  <c r="U19" i="3"/>
  <c r="V19" i="3"/>
  <c r="W19" i="3"/>
  <c r="Z19" i="3"/>
  <c r="AA19" i="3"/>
  <c r="AB19" i="3"/>
  <c r="AC19" i="3"/>
  <c r="AF19" i="3"/>
  <c r="AG19" i="3"/>
  <c r="AH19" i="3"/>
  <c r="AI19" i="3"/>
  <c r="B20" i="3"/>
  <c r="C20" i="3"/>
  <c r="D20" i="3"/>
  <c r="E20" i="3"/>
  <c r="H20" i="3"/>
  <c r="I20" i="3"/>
  <c r="J20" i="3"/>
  <c r="K20" i="3"/>
  <c r="N20" i="3"/>
  <c r="O20" i="3"/>
  <c r="P20" i="3"/>
  <c r="Q20" i="3"/>
  <c r="T20" i="3"/>
  <c r="U20" i="3"/>
  <c r="V20" i="3"/>
  <c r="W20" i="3"/>
  <c r="Z20" i="3"/>
  <c r="AA20" i="3"/>
  <c r="AB20" i="3"/>
  <c r="AC20" i="3"/>
  <c r="AF20" i="3"/>
  <c r="AG20" i="3"/>
  <c r="AH20" i="3"/>
  <c r="AI20" i="3"/>
  <c r="AI62" i="3"/>
  <c r="AH62" i="3"/>
  <c r="AG62" i="3"/>
  <c r="AF62" i="3"/>
  <c r="AI61" i="3"/>
  <c r="AH61" i="3"/>
  <c r="AG61" i="3"/>
  <c r="AF61" i="3"/>
  <c r="AI60" i="3"/>
  <c r="AH60" i="3"/>
  <c r="AG60" i="3"/>
  <c r="AF60" i="3"/>
  <c r="AI59" i="3"/>
  <c r="AH59" i="3"/>
  <c r="AG59" i="3"/>
  <c r="AF59" i="3"/>
  <c r="AI58" i="3"/>
  <c r="AH58" i="3"/>
  <c r="AG58" i="3"/>
  <c r="AF58" i="3"/>
  <c r="AI57" i="3"/>
  <c r="AH57" i="3"/>
  <c r="AG57" i="3"/>
  <c r="AF57" i="3"/>
  <c r="AI56" i="3"/>
  <c r="AH56" i="3"/>
  <c r="AG56" i="3"/>
  <c r="AF56" i="3"/>
  <c r="AI55" i="3"/>
  <c r="AH55" i="3"/>
  <c r="AG55" i="3"/>
  <c r="AF55" i="3"/>
  <c r="AI54" i="3"/>
  <c r="AH54" i="3"/>
  <c r="AG54" i="3"/>
  <c r="AF54" i="3"/>
  <c r="AI53" i="3"/>
  <c r="AH53" i="3"/>
  <c r="AG53" i="3"/>
  <c r="AF53" i="3"/>
  <c r="AI52" i="3"/>
  <c r="AH52" i="3"/>
  <c r="AG52" i="3"/>
  <c r="AF52" i="3"/>
  <c r="AI51" i="3"/>
  <c r="AH51" i="3"/>
  <c r="AG51" i="3"/>
  <c r="AF51" i="3"/>
  <c r="AI50" i="3"/>
  <c r="AH50" i="3"/>
  <c r="AG50" i="3"/>
  <c r="AF50" i="3"/>
  <c r="AI49" i="3"/>
  <c r="AH49" i="3"/>
  <c r="AG49" i="3"/>
  <c r="AF49" i="3"/>
  <c r="W62" i="3"/>
  <c r="V62" i="3"/>
  <c r="U62" i="3"/>
  <c r="T62" i="3"/>
  <c r="W61" i="3"/>
  <c r="V61" i="3"/>
  <c r="U61" i="3"/>
  <c r="T61" i="3"/>
  <c r="W60" i="3"/>
  <c r="V60" i="3"/>
  <c r="U60" i="3"/>
  <c r="T60" i="3"/>
  <c r="W59" i="3"/>
  <c r="V59" i="3"/>
  <c r="U59" i="3"/>
  <c r="T59" i="3"/>
  <c r="W58" i="3"/>
  <c r="V58" i="3"/>
  <c r="U58" i="3"/>
  <c r="T58" i="3"/>
  <c r="W57" i="3"/>
  <c r="V57" i="3"/>
  <c r="U57" i="3"/>
  <c r="T57" i="3"/>
  <c r="W56" i="3"/>
  <c r="V56" i="3"/>
  <c r="U56" i="3"/>
  <c r="T56" i="3"/>
  <c r="W55" i="3"/>
  <c r="V55" i="3"/>
  <c r="U55" i="3"/>
  <c r="T55" i="3"/>
  <c r="W54" i="3"/>
  <c r="V54" i="3"/>
  <c r="U54" i="3"/>
  <c r="T54" i="3"/>
  <c r="W53" i="3"/>
  <c r="V53" i="3"/>
  <c r="U53" i="3"/>
  <c r="T53" i="3"/>
  <c r="W52" i="3"/>
  <c r="V52" i="3"/>
  <c r="U52" i="3"/>
  <c r="T52" i="3"/>
  <c r="W51" i="3"/>
  <c r="V51" i="3"/>
  <c r="U51" i="3"/>
  <c r="T51" i="3"/>
  <c r="W50" i="3"/>
  <c r="V50" i="3"/>
  <c r="U50" i="3"/>
  <c r="T50" i="3"/>
  <c r="W49" i="3"/>
  <c r="V49" i="3"/>
  <c r="U49" i="3"/>
  <c r="T49" i="3"/>
  <c r="AC63" i="3"/>
  <c r="AB63" i="3"/>
  <c r="AA63" i="3"/>
  <c r="Z63" i="3"/>
  <c r="AC62" i="3"/>
  <c r="AB62" i="3"/>
  <c r="AA62" i="3"/>
  <c r="Z62" i="3"/>
  <c r="AC61" i="3"/>
  <c r="AB61" i="3"/>
  <c r="AA61" i="3"/>
  <c r="Z61" i="3"/>
  <c r="AC60" i="3"/>
  <c r="AB60" i="3"/>
  <c r="AA60" i="3"/>
  <c r="Z60" i="3"/>
  <c r="AC59" i="3"/>
  <c r="AB59" i="3"/>
  <c r="AA59" i="3"/>
  <c r="Z59" i="3"/>
  <c r="AC58" i="3"/>
  <c r="AB58" i="3"/>
  <c r="AA58" i="3"/>
  <c r="Z58" i="3"/>
  <c r="AC57" i="3"/>
  <c r="AB57" i="3"/>
  <c r="AA57" i="3"/>
  <c r="Z57" i="3"/>
  <c r="AC56" i="3"/>
  <c r="AB56" i="3"/>
  <c r="AA56" i="3"/>
  <c r="Z56" i="3"/>
  <c r="AC55" i="3"/>
  <c r="AB55" i="3"/>
  <c r="AA55" i="3"/>
  <c r="Z55" i="3"/>
  <c r="AC54" i="3"/>
  <c r="AB54" i="3"/>
  <c r="AA54" i="3"/>
  <c r="Z54" i="3"/>
  <c r="AC53" i="3"/>
  <c r="AB53" i="3"/>
  <c r="AA53" i="3"/>
  <c r="Z53" i="3"/>
  <c r="AC52" i="3"/>
  <c r="AB52" i="3"/>
  <c r="AA52" i="3"/>
  <c r="Z52" i="3"/>
  <c r="AC51" i="3"/>
  <c r="AB51" i="3"/>
  <c r="AA51" i="3"/>
  <c r="Z51" i="3"/>
  <c r="AC50" i="3"/>
  <c r="AB50" i="3"/>
  <c r="AA50" i="3"/>
  <c r="Z50" i="3"/>
  <c r="AC49" i="3"/>
  <c r="AB49" i="3"/>
  <c r="AA49" i="3"/>
  <c r="Z49" i="3"/>
  <c r="E63" i="3"/>
  <c r="D63" i="3"/>
  <c r="C63" i="3"/>
  <c r="B63" i="3"/>
  <c r="E62" i="3"/>
  <c r="D62" i="3"/>
  <c r="C62" i="3"/>
  <c r="B62" i="3"/>
  <c r="E61" i="3"/>
  <c r="D61" i="3"/>
  <c r="C61" i="3"/>
  <c r="B61" i="3"/>
  <c r="E60" i="3"/>
  <c r="D60" i="3"/>
  <c r="C60" i="3"/>
  <c r="B60" i="3"/>
  <c r="E59" i="3"/>
  <c r="D59" i="3"/>
  <c r="C59" i="3"/>
  <c r="B59" i="3"/>
  <c r="E58" i="3"/>
  <c r="D58" i="3"/>
  <c r="C58" i="3"/>
  <c r="B58" i="3"/>
  <c r="E57" i="3"/>
  <c r="D57" i="3"/>
  <c r="C57" i="3"/>
  <c r="B57" i="3"/>
  <c r="E56" i="3"/>
  <c r="D56" i="3"/>
  <c r="C56" i="3"/>
  <c r="B56" i="3"/>
  <c r="E55" i="3"/>
  <c r="D55" i="3"/>
  <c r="C55" i="3"/>
  <c r="B55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Q63" i="3"/>
  <c r="P63" i="3"/>
  <c r="O63" i="3"/>
  <c r="N63" i="3"/>
  <c r="W66" i="3"/>
  <c r="Q62" i="3"/>
  <c r="P62" i="3"/>
  <c r="O62" i="3"/>
  <c r="N62" i="3"/>
  <c r="Q61" i="3"/>
  <c r="P61" i="3"/>
  <c r="O61" i="3"/>
  <c r="N61" i="3"/>
  <c r="Q60" i="3"/>
  <c r="P60" i="3"/>
  <c r="O60" i="3"/>
  <c r="N60" i="3"/>
  <c r="Q59" i="3"/>
  <c r="P59" i="3"/>
  <c r="O59" i="3"/>
  <c r="N59" i="3"/>
  <c r="Q58" i="3"/>
  <c r="P58" i="3"/>
  <c r="O58" i="3"/>
  <c r="N58" i="3"/>
  <c r="Q57" i="3"/>
  <c r="P57" i="3"/>
  <c r="O57" i="3"/>
  <c r="N57" i="3"/>
  <c r="Q56" i="3"/>
  <c r="P56" i="3"/>
  <c r="O56" i="3"/>
  <c r="N56" i="3"/>
  <c r="Q55" i="3"/>
  <c r="P55" i="3"/>
  <c r="O55" i="3"/>
  <c r="N55" i="3"/>
  <c r="Q54" i="3"/>
  <c r="P54" i="3"/>
  <c r="O54" i="3"/>
  <c r="N54" i="3"/>
  <c r="Q53" i="3"/>
  <c r="P53" i="3"/>
  <c r="O53" i="3"/>
  <c r="N53" i="3"/>
  <c r="Q52" i="3"/>
  <c r="P52" i="3"/>
  <c r="O52" i="3"/>
  <c r="N52" i="3"/>
  <c r="Q51" i="3"/>
  <c r="P51" i="3"/>
  <c r="O51" i="3"/>
  <c r="N51" i="3"/>
  <c r="Q50" i="3"/>
  <c r="P50" i="3"/>
  <c r="O50" i="3"/>
  <c r="N50" i="3"/>
  <c r="Q49" i="3"/>
  <c r="P49" i="3"/>
  <c r="O49" i="3"/>
  <c r="N49" i="3"/>
  <c r="H50" i="3"/>
  <c r="I50" i="3"/>
  <c r="J50" i="3"/>
  <c r="K50" i="3"/>
  <c r="H51" i="3"/>
  <c r="I51" i="3"/>
  <c r="J51" i="3"/>
  <c r="K51" i="3"/>
  <c r="H52" i="3"/>
  <c r="I52" i="3"/>
  <c r="J52" i="3"/>
  <c r="K52" i="3"/>
  <c r="H53" i="3"/>
  <c r="I53" i="3"/>
  <c r="J53" i="3"/>
  <c r="K53" i="3"/>
  <c r="H54" i="3"/>
  <c r="I54" i="3"/>
  <c r="J54" i="3"/>
  <c r="K54" i="3"/>
  <c r="H55" i="3"/>
  <c r="I55" i="3"/>
  <c r="J55" i="3"/>
  <c r="K55" i="3"/>
  <c r="H56" i="3"/>
  <c r="I56" i="3"/>
  <c r="J56" i="3"/>
  <c r="K56" i="3"/>
  <c r="H57" i="3"/>
  <c r="I57" i="3"/>
  <c r="J57" i="3"/>
  <c r="K57" i="3"/>
  <c r="H58" i="3"/>
  <c r="I58" i="3"/>
  <c r="J58" i="3"/>
  <c r="K58" i="3"/>
  <c r="H59" i="3"/>
  <c r="I59" i="3"/>
  <c r="J59" i="3"/>
  <c r="K59" i="3"/>
  <c r="H60" i="3"/>
  <c r="I60" i="3"/>
  <c r="J60" i="3"/>
  <c r="K60" i="3"/>
  <c r="H61" i="3"/>
  <c r="I61" i="3"/>
  <c r="J61" i="3"/>
  <c r="K61" i="3"/>
  <c r="H62" i="3"/>
  <c r="I62" i="3"/>
  <c r="J62" i="3"/>
  <c r="K62" i="3"/>
  <c r="I49" i="3"/>
  <c r="J49" i="3"/>
  <c r="K49" i="3"/>
  <c r="H49" i="3"/>
  <c r="E66" i="3" l="1"/>
  <c r="D66" i="3"/>
  <c r="H65" i="3"/>
  <c r="AC66" i="3"/>
  <c r="B65" i="3"/>
  <c r="N66" i="3"/>
  <c r="T66" i="3"/>
  <c r="O65" i="3"/>
  <c r="I65" i="3"/>
  <c r="AB66" i="3"/>
  <c r="Q66" i="3"/>
  <c r="P65" i="3"/>
  <c r="Q65" i="3"/>
  <c r="N65" i="3"/>
  <c r="O66" i="3"/>
  <c r="P66" i="3"/>
  <c r="AF66" i="3"/>
  <c r="I66" i="3"/>
  <c r="H66" i="3"/>
  <c r="AA66" i="3"/>
  <c r="AG66" i="3"/>
  <c r="K66" i="3"/>
  <c r="AH65" i="3"/>
  <c r="Z66" i="3"/>
  <c r="B66" i="3"/>
  <c r="C66" i="3"/>
  <c r="C65" i="3"/>
  <c r="U66" i="3"/>
  <c r="V65" i="3"/>
  <c r="E65" i="3"/>
  <c r="D65" i="3"/>
  <c r="J65" i="3"/>
  <c r="AI66" i="3"/>
  <c r="AH66" i="3"/>
  <c r="AF65" i="3"/>
  <c r="AG65" i="3"/>
  <c r="AI65" i="3"/>
  <c r="Z65" i="3"/>
  <c r="AA65" i="3"/>
  <c r="AB65" i="3"/>
  <c r="AC65" i="3"/>
  <c r="T65" i="3"/>
  <c r="U65" i="3"/>
  <c r="V66" i="3"/>
  <c r="W65" i="3"/>
  <c r="J66" i="3"/>
  <c r="K65" i="3"/>
  <c r="Q43" i="3" l="1"/>
  <c r="P43" i="3"/>
  <c r="O43" i="3"/>
  <c r="N43" i="3"/>
  <c r="Q42" i="3"/>
  <c r="P42" i="3"/>
  <c r="O42" i="3"/>
  <c r="N42" i="3"/>
  <c r="E43" i="3"/>
  <c r="D43" i="3"/>
  <c r="C43" i="3"/>
  <c r="B43" i="3"/>
  <c r="E42" i="3"/>
  <c r="D42" i="3"/>
  <c r="C42" i="3"/>
  <c r="B42" i="3"/>
  <c r="W43" i="3"/>
  <c r="V43" i="3"/>
  <c r="U43" i="3"/>
  <c r="T43" i="3"/>
  <c r="W42" i="3"/>
  <c r="V42" i="3"/>
  <c r="U42" i="3"/>
  <c r="T42" i="3"/>
  <c r="K43" i="3"/>
  <c r="J43" i="3"/>
  <c r="I43" i="3"/>
  <c r="H43" i="3"/>
  <c r="K42" i="3"/>
  <c r="J42" i="3"/>
  <c r="I42" i="3"/>
  <c r="H42" i="3"/>
  <c r="AI43" i="3"/>
  <c r="AH43" i="3"/>
  <c r="AG43" i="3"/>
  <c r="AF43" i="3"/>
  <c r="AI42" i="3"/>
  <c r="AH42" i="3"/>
  <c r="AG42" i="3"/>
  <c r="AF42" i="3"/>
  <c r="AC43" i="3"/>
  <c r="AB43" i="3"/>
  <c r="AA43" i="3"/>
  <c r="Z43" i="3"/>
  <c r="AC42" i="3"/>
  <c r="AB42" i="3"/>
  <c r="AA42" i="3"/>
  <c r="Z42" i="3"/>
  <c r="K21" i="1"/>
  <c r="J21" i="1"/>
  <c r="I21" i="1"/>
  <c r="H21" i="1"/>
  <c r="K20" i="1"/>
  <c r="J20" i="1"/>
  <c r="I20" i="1"/>
  <c r="H20" i="1"/>
  <c r="U20" i="2"/>
  <c r="T20" i="2"/>
  <c r="S20" i="2"/>
  <c r="R20" i="2"/>
  <c r="Q20" i="2"/>
  <c r="U19" i="2"/>
  <c r="T19" i="2"/>
  <c r="S19" i="2"/>
  <c r="R19" i="2"/>
  <c r="Q19" i="2"/>
  <c r="J20" i="2"/>
  <c r="I20" i="2"/>
  <c r="H20" i="2"/>
  <c r="G20" i="2"/>
  <c r="J19" i="2"/>
  <c r="I19" i="2"/>
  <c r="H19" i="2"/>
  <c r="G19" i="2"/>
  <c r="F20" i="2"/>
  <c r="F19" i="2"/>
  <c r="P20" i="2"/>
  <c r="O20" i="2"/>
  <c r="N20" i="2"/>
  <c r="M20" i="2"/>
  <c r="P19" i="2"/>
  <c r="O19" i="2"/>
  <c r="N19" i="2"/>
  <c r="M19" i="2"/>
  <c r="C20" i="2"/>
  <c r="D20" i="2"/>
  <c r="E20" i="2"/>
  <c r="C19" i="2"/>
  <c r="D19" i="2"/>
  <c r="E19" i="2"/>
  <c r="B20" i="2"/>
  <c r="B19" i="2"/>
</calcChain>
</file>

<file path=xl/sharedStrings.xml><?xml version="1.0" encoding="utf-8"?>
<sst xmlns="http://schemas.openxmlformats.org/spreadsheetml/2006/main" count="609" uniqueCount="73">
  <si>
    <t>G-EXP</t>
  </si>
  <si>
    <t>Moy</t>
  </si>
  <si>
    <t>SD</t>
  </si>
  <si>
    <t>G-CONT</t>
  </si>
  <si>
    <t>P1</t>
  </si>
  <si>
    <t>P3</t>
  </si>
  <si>
    <t>P5</t>
  </si>
  <si>
    <t>P7</t>
  </si>
  <si>
    <t>P10</t>
  </si>
  <si>
    <t>P17</t>
  </si>
  <si>
    <t>P18</t>
  </si>
  <si>
    <t>P19</t>
  </si>
  <si>
    <t>P20</t>
  </si>
  <si>
    <t>P21</t>
  </si>
  <si>
    <t>P22</t>
  </si>
  <si>
    <t>P29</t>
  </si>
  <si>
    <t>P28</t>
  </si>
  <si>
    <t>P30</t>
  </si>
  <si>
    <t>P32</t>
  </si>
  <si>
    <t>P6</t>
  </si>
  <si>
    <t>P8</t>
  </si>
  <si>
    <t>P9</t>
  </si>
  <si>
    <t>P12</t>
  </si>
  <si>
    <t>P11</t>
  </si>
  <si>
    <t>P13</t>
  </si>
  <si>
    <t>P14</t>
  </si>
  <si>
    <t>P15</t>
  </si>
  <si>
    <t>P16</t>
  </si>
  <si>
    <t>P23</t>
  </si>
  <si>
    <t>P27</t>
  </si>
  <si>
    <t>P25</t>
  </si>
  <si>
    <t>P26</t>
  </si>
  <si>
    <t>P31</t>
  </si>
  <si>
    <t>Age</t>
  </si>
  <si>
    <t>Height</t>
  </si>
  <si>
    <t>Weight</t>
  </si>
  <si>
    <t>BMI</t>
  </si>
  <si>
    <t>HR</t>
  </si>
  <si>
    <t>PSS</t>
  </si>
  <si>
    <t>ISI</t>
  </si>
  <si>
    <t>Systolic pressure</t>
  </si>
  <si>
    <t>Diastolic pressure</t>
  </si>
  <si>
    <t>S1</t>
  </si>
  <si>
    <t>S10</t>
  </si>
  <si>
    <t>Pre</t>
  </si>
  <si>
    <t>Post</t>
  </si>
  <si>
    <t>G-CONT : Time in bed</t>
  </si>
  <si>
    <t>G-EXP : Time in bed</t>
  </si>
  <si>
    <t>Baseline</t>
  </si>
  <si>
    <t>Early</t>
  </si>
  <si>
    <t>Mid</t>
  </si>
  <si>
    <t>End</t>
  </si>
  <si>
    <t>G-CONT : Actual sleep time</t>
  </si>
  <si>
    <t>G-EXP : Actual sleep time</t>
  </si>
  <si>
    <t>G-CONT : Sleep efficiency</t>
  </si>
  <si>
    <t>G-EXP : Sleep efficiency</t>
  </si>
  <si>
    <t>G-CONT : Sleep latency</t>
  </si>
  <si>
    <t>G-EXP : Sleep latency</t>
  </si>
  <si>
    <t>G-CONT : Immobile time</t>
  </si>
  <si>
    <t>G-EXP : Immobile time</t>
  </si>
  <si>
    <t>G-CONT : Fragmentation index</t>
  </si>
  <si>
    <t>G-EXP : Fragmentation index</t>
  </si>
  <si>
    <t>FIRST</t>
  </si>
  <si>
    <t>CSQ</t>
  </si>
  <si>
    <t>HAD A</t>
  </si>
  <si>
    <t>HAD D</t>
  </si>
  <si>
    <t>SSQ</t>
  </si>
  <si>
    <t>Pain VAS</t>
  </si>
  <si>
    <t>Promoteurs</t>
  </si>
  <si>
    <t>Passive</t>
  </si>
  <si>
    <t>Detractors</t>
  </si>
  <si>
    <t>NPS</t>
  </si>
  <si>
    <t>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</si>
</sst>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45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1" fontId="4" fillId="0" borderId="1" xfId="0" applyNumberFormat="1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1" xfId="0" applyBorder="1"/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horizontal="center" wrapText="1"/>
    </xf>
    <xf numFmtId="165" fontId="5" fillId="0" borderId="1" xfId="0" applyNumberFormat="1" applyFont="1" applyBorder="1" applyAlignment="1">
      <alignment horizontal="center" wrapText="1"/>
    </xf>
    <xf numFmtId="165" fontId="4" fillId="0" borderId="1" xfId="0" applyNumberFormat="1" applyFont="1" applyBorder="1" applyAlignment="1">
      <alignment horizontal="center" wrapText="1"/>
    </xf>
    <xf numFmtId="0" fontId="2" fillId="0" borderId="1" xfId="0" applyFont="1" applyBorder="1"/>
    <xf numFmtId="0" fontId="7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" vertical="center" wrapText="1"/>
    </xf>
    <xf numFmtId="0" fontId="0" fillId="2" borderId="1" xfId="0" applyFill="1" applyBorder="1"/>
    <xf numFmtId="9" fontId="0" fillId="2" borderId="1" xfId="1" applyFont="1" applyFill="1" applyBorder="1"/>
    <xf numFmtId="9" fontId="0" fillId="2" borderId="1" xfId="0" applyNumberFormat="1" applyFill="1" applyBorder="1"/>
    <xf numFmtId="2" fontId="5" fillId="0" borderId="1" xfId="2" applyNumberFormat="1" applyBorder="1" applyAlignment="1">
      <alignment horizontal="center"/>
    </xf>
    <xf numFmtId="2" fontId="7" fillId="0" borderId="1" xfId="2" applyNumberFormat="1" applyFont="1" applyBorder="1" applyAlignment="1">
      <alignment horizontal="center"/>
    </xf>
    <xf numFmtId="0" fontId="5" fillId="0" borderId="1" xfId="2" applyBorder="1" applyAlignment="1">
      <alignment horizontal="left"/>
    </xf>
    <xf numFmtId="2" fontId="5" fillId="0" borderId="0" xfId="2" applyNumberFormat="1" applyAlignment="1">
      <alignment horizontal="center"/>
    </xf>
    <xf numFmtId="2" fontId="7" fillId="0" borderId="0" xfId="2" applyNumberFormat="1" applyFont="1" applyAlignment="1">
      <alignment horizontal="center"/>
    </xf>
    <xf numFmtId="0" fontId="5" fillId="0" borderId="5" xfId="0" applyFont="1" applyBorder="1" applyAlignment="1">
      <alignment horizontal="center" wrapText="1"/>
    </xf>
    <xf numFmtId="166" fontId="7" fillId="0" borderId="1" xfId="1" applyNumberFormat="1" applyFont="1" applyBorder="1" applyAlignment="1">
      <alignment horizontal="center"/>
    </xf>
    <xf numFmtId="0" fontId="7" fillId="0" borderId="1" xfId="2" applyFont="1" applyBorder="1" applyAlignment="1">
      <alignment horizontal="left"/>
    </xf>
    <xf numFmtId="0" fontId="7" fillId="0" borderId="1" xfId="2" applyFont="1" applyBorder="1"/>
    <xf numFmtId="0" fontId="9" fillId="0" borderId="1" xfId="2" applyFon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</cellXfs>
  <cellStyles count="3">
    <cellStyle name="Normal" xfId="0" builtinId="0"/>
    <cellStyle name="Normal 2" xfId="2" xr:uid="{67111654-7F70-4C28-9668-C657D84B4BCC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B77C9-38E5-47F1-AEA2-E17562FA0B46}">
  <dimension ref="A1:U20"/>
  <sheetViews>
    <sheetView tabSelected="1" workbookViewId="0">
      <selection activeCell="J42" sqref="J42"/>
    </sheetView>
  </sheetViews>
  <sheetFormatPr baseColWidth="10" defaultRowHeight="14.4" x14ac:dyDescent="0.3"/>
  <sheetData>
    <row r="1" spans="1:21" x14ac:dyDescent="0.3">
      <c r="A1" s="3"/>
      <c r="B1" s="43" t="s">
        <v>3</v>
      </c>
      <c r="C1" s="43"/>
      <c r="D1" s="43"/>
      <c r="E1" s="43"/>
      <c r="F1" s="43"/>
      <c r="G1" s="43"/>
      <c r="H1" s="43"/>
      <c r="I1" s="43"/>
      <c r="J1" s="43"/>
      <c r="K1" s="1"/>
      <c r="L1" s="43" t="s">
        <v>0</v>
      </c>
      <c r="M1" s="43"/>
      <c r="N1" s="43"/>
      <c r="O1" s="43"/>
      <c r="P1" s="43"/>
      <c r="Q1" s="43"/>
      <c r="R1" s="43"/>
      <c r="S1" s="43"/>
      <c r="T1" s="43"/>
      <c r="U1" s="43"/>
    </row>
    <row r="2" spans="1:21" ht="27" x14ac:dyDescent="0.3">
      <c r="A2" s="13"/>
      <c r="B2" s="5" t="s">
        <v>33</v>
      </c>
      <c r="C2" s="5" t="s">
        <v>34</v>
      </c>
      <c r="D2" s="5" t="s">
        <v>35</v>
      </c>
      <c r="E2" s="5" t="s">
        <v>36</v>
      </c>
      <c r="F2" s="5" t="s">
        <v>37</v>
      </c>
      <c r="G2" s="5" t="s">
        <v>40</v>
      </c>
      <c r="H2" s="5" t="s">
        <v>41</v>
      </c>
      <c r="I2" s="14" t="s">
        <v>38</v>
      </c>
      <c r="J2" s="14" t="s">
        <v>39</v>
      </c>
      <c r="K2" s="1"/>
      <c r="L2" s="13"/>
      <c r="M2" s="5" t="s">
        <v>33</v>
      </c>
      <c r="N2" s="5" t="s">
        <v>34</v>
      </c>
      <c r="O2" s="5" t="s">
        <v>35</v>
      </c>
      <c r="P2" s="5" t="s">
        <v>36</v>
      </c>
      <c r="Q2" s="14"/>
      <c r="R2" s="14"/>
      <c r="S2" s="14"/>
      <c r="T2" s="14" t="s">
        <v>38</v>
      </c>
      <c r="U2" s="14" t="s">
        <v>39</v>
      </c>
    </row>
    <row r="3" spans="1:21" x14ac:dyDescent="0.3">
      <c r="A3" s="5" t="s">
        <v>4</v>
      </c>
      <c r="B3" s="4">
        <v>47</v>
      </c>
      <c r="C3" s="4">
        <v>179</v>
      </c>
      <c r="D3" s="4">
        <v>79.900000000000006</v>
      </c>
      <c r="E3" s="4">
        <v>24.94</v>
      </c>
      <c r="F3" s="4">
        <v>56.79</v>
      </c>
      <c r="G3" s="4">
        <v>144.5</v>
      </c>
      <c r="H3" s="4">
        <v>92.5</v>
      </c>
      <c r="I3" s="4">
        <v>24</v>
      </c>
      <c r="J3" s="4">
        <v>18</v>
      </c>
      <c r="K3" s="2"/>
      <c r="L3" s="5" t="s">
        <v>19</v>
      </c>
      <c r="M3" s="4">
        <v>30</v>
      </c>
      <c r="N3" s="4">
        <v>170</v>
      </c>
      <c r="O3" s="4">
        <v>72.599999999999994</v>
      </c>
      <c r="P3" s="4">
        <v>25.12</v>
      </c>
      <c r="Q3" s="4">
        <v>58.22</v>
      </c>
      <c r="R3" s="4">
        <v>118</v>
      </c>
      <c r="S3" s="4">
        <v>66</v>
      </c>
      <c r="T3" s="4">
        <v>18</v>
      </c>
      <c r="U3" s="4">
        <v>20</v>
      </c>
    </row>
    <row r="4" spans="1:21" x14ac:dyDescent="0.3">
      <c r="A4" s="5" t="s">
        <v>5</v>
      </c>
      <c r="B4" s="4">
        <v>42</v>
      </c>
      <c r="C4" s="4">
        <v>173</v>
      </c>
      <c r="D4" s="4">
        <v>68</v>
      </c>
      <c r="E4" s="4">
        <v>22.72</v>
      </c>
      <c r="F4" s="4">
        <v>55.45</v>
      </c>
      <c r="G4" s="4">
        <v>117</v>
      </c>
      <c r="H4" s="4">
        <v>79.5</v>
      </c>
      <c r="I4" s="4">
        <v>18</v>
      </c>
      <c r="J4" s="4">
        <v>20</v>
      </c>
      <c r="K4" s="2"/>
      <c r="L4" s="5" t="s">
        <v>20</v>
      </c>
      <c r="M4" s="4">
        <v>37</v>
      </c>
      <c r="N4" s="4">
        <v>172</v>
      </c>
      <c r="O4" s="4">
        <v>61</v>
      </c>
      <c r="P4" s="4">
        <v>20.62</v>
      </c>
      <c r="Q4" s="4">
        <v>58.68</v>
      </c>
      <c r="R4" s="4">
        <v>120</v>
      </c>
      <c r="S4" s="4">
        <v>66.5</v>
      </c>
      <c r="T4" s="4">
        <v>30</v>
      </c>
      <c r="U4" s="4">
        <v>20</v>
      </c>
    </row>
    <row r="5" spans="1:21" x14ac:dyDescent="0.3">
      <c r="A5" s="5" t="s">
        <v>6</v>
      </c>
      <c r="B5" s="4">
        <v>32</v>
      </c>
      <c r="C5" s="4">
        <v>155</v>
      </c>
      <c r="D5" s="4">
        <v>59.3</v>
      </c>
      <c r="E5" s="4">
        <v>24.68</v>
      </c>
      <c r="F5" s="4">
        <v>82.48</v>
      </c>
      <c r="G5" s="4">
        <v>118</v>
      </c>
      <c r="H5" s="4">
        <v>70</v>
      </c>
      <c r="I5" s="4">
        <v>20</v>
      </c>
      <c r="J5" s="4">
        <v>16</v>
      </c>
      <c r="K5" s="2"/>
      <c r="L5" s="5" t="s">
        <v>21</v>
      </c>
      <c r="M5" s="4">
        <v>37</v>
      </c>
      <c r="N5" s="4">
        <v>163</v>
      </c>
      <c r="O5" s="4">
        <v>50.2</v>
      </c>
      <c r="P5" s="4">
        <v>18.89</v>
      </c>
      <c r="Q5" s="4">
        <v>81.41</v>
      </c>
      <c r="R5" s="4">
        <v>129.5</v>
      </c>
      <c r="S5" s="4">
        <v>82</v>
      </c>
      <c r="T5" s="4">
        <v>28</v>
      </c>
      <c r="U5" s="4">
        <v>21</v>
      </c>
    </row>
    <row r="6" spans="1:21" x14ac:dyDescent="0.3">
      <c r="A6" s="5" t="s">
        <v>7</v>
      </c>
      <c r="B6" s="4">
        <v>24</v>
      </c>
      <c r="C6" s="4">
        <v>166</v>
      </c>
      <c r="D6" s="4">
        <v>58</v>
      </c>
      <c r="E6" s="4">
        <v>21.05</v>
      </c>
      <c r="F6" s="4">
        <v>56.87</v>
      </c>
      <c r="G6" s="4">
        <v>113</v>
      </c>
      <c r="H6" s="4">
        <v>83</v>
      </c>
      <c r="I6" s="4">
        <v>23</v>
      </c>
      <c r="J6" s="4">
        <v>16</v>
      </c>
      <c r="K6" s="2"/>
      <c r="L6" s="5" t="s">
        <v>23</v>
      </c>
      <c r="M6" s="4">
        <v>57</v>
      </c>
      <c r="N6" s="4">
        <v>157</v>
      </c>
      <c r="O6" s="4">
        <v>86.1</v>
      </c>
      <c r="P6" s="4">
        <v>34.93</v>
      </c>
      <c r="Q6" s="4">
        <v>67.75</v>
      </c>
      <c r="R6" s="4">
        <v>151</v>
      </c>
      <c r="S6" s="4">
        <v>95</v>
      </c>
      <c r="T6" s="4">
        <v>16</v>
      </c>
      <c r="U6" s="4">
        <v>20</v>
      </c>
    </row>
    <row r="7" spans="1:21" x14ac:dyDescent="0.3">
      <c r="A7" s="5" t="s">
        <v>8</v>
      </c>
      <c r="B7" s="4">
        <v>50</v>
      </c>
      <c r="C7" s="4">
        <v>164</v>
      </c>
      <c r="D7" s="4">
        <v>72.2</v>
      </c>
      <c r="E7" s="4">
        <v>26.84</v>
      </c>
      <c r="F7" s="4">
        <v>60.15</v>
      </c>
      <c r="G7" s="4">
        <v>129</v>
      </c>
      <c r="H7" s="4">
        <v>86</v>
      </c>
      <c r="I7" s="4">
        <v>22</v>
      </c>
      <c r="J7" s="4">
        <v>19</v>
      </c>
      <c r="K7" s="2"/>
      <c r="L7" s="5" t="s">
        <v>22</v>
      </c>
      <c r="M7" s="4">
        <v>46</v>
      </c>
      <c r="N7" s="4">
        <v>180</v>
      </c>
      <c r="O7" s="4">
        <v>79.8</v>
      </c>
      <c r="P7" s="4">
        <v>24.63</v>
      </c>
      <c r="Q7" s="4">
        <v>64.52</v>
      </c>
      <c r="R7" s="4">
        <v>130.5</v>
      </c>
      <c r="S7" s="4">
        <v>79</v>
      </c>
      <c r="T7" s="4">
        <v>19</v>
      </c>
      <c r="U7" s="4">
        <v>21</v>
      </c>
    </row>
    <row r="8" spans="1:21" x14ac:dyDescent="0.3">
      <c r="A8" s="5" t="s">
        <v>9</v>
      </c>
      <c r="B8" s="4">
        <v>37</v>
      </c>
      <c r="C8" s="4">
        <v>176</v>
      </c>
      <c r="D8" s="4">
        <v>106.1</v>
      </c>
      <c r="E8" s="4">
        <v>34.25</v>
      </c>
      <c r="F8" s="4">
        <v>94.53</v>
      </c>
      <c r="G8" s="4">
        <v>114</v>
      </c>
      <c r="H8" s="4">
        <v>68.5</v>
      </c>
      <c r="I8" s="4">
        <v>27</v>
      </c>
      <c r="J8" s="4">
        <v>21</v>
      </c>
      <c r="K8" s="2"/>
      <c r="L8" s="5" t="s">
        <v>24</v>
      </c>
      <c r="M8" s="4">
        <v>52</v>
      </c>
      <c r="N8" s="4">
        <v>170</v>
      </c>
      <c r="O8" s="4">
        <v>80.7</v>
      </c>
      <c r="P8" s="4">
        <v>27.92</v>
      </c>
      <c r="Q8" s="4">
        <v>64.38</v>
      </c>
      <c r="R8" s="4">
        <v>147.5</v>
      </c>
      <c r="S8" s="4">
        <v>89.5</v>
      </c>
      <c r="T8" s="4">
        <v>23</v>
      </c>
      <c r="U8" s="4">
        <v>17</v>
      </c>
    </row>
    <row r="9" spans="1:21" x14ac:dyDescent="0.3">
      <c r="A9" s="5" t="s">
        <v>10</v>
      </c>
      <c r="B9" s="4">
        <v>54</v>
      </c>
      <c r="C9" s="4">
        <v>158</v>
      </c>
      <c r="D9" s="4">
        <v>74.400000000000006</v>
      </c>
      <c r="E9" s="4">
        <v>29.8</v>
      </c>
      <c r="F9" s="4">
        <v>72.34</v>
      </c>
      <c r="G9" s="4">
        <v>169</v>
      </c>
      <c r="H9" s="4">
        <v>89.5</v>
      </c>
      <c r="I9" s="4">
        <v>16</v>
      </c>
      <c r="J9" s="4">
        <v>15</v>
      </c>
      <c r="K9" s="2"/>
      <c r="L9" s="5" t="s">
        <v>25</v>
      </c>
      <c r="M9" s="4">
        <v>41</v>
      </c>
      <c r="N9" s="4">
        <v>161</v>
      </c>
      <c r="O9" s="4">
        <v>53.3</v>
      </c>
      <c r="P9" s="4">
        <v>20.56</v>
      </c>
      <c r="Q9" s="4">
        <v>73.260000000000005</v>
      </c>
      <c r="R9" s="4">
        <v>119</v>
      </c>
      <c r="S9" s="4">
        <v>78</v>
      </c>
      <c r="T9" s="4">
        <v>26</v>
      </c>
      <c r="U9" s="4">
        <v>22</v>
      </c>
    </row>
    <row r="10" spans="1:21" x14ac:dyDescent="0.3">
      <c r="A10" s="5" t="s">
        <v>11</v>
      </c>
      <c r="B10" s="4">
        <v>41</v>
      </c>
      <c r="C10" s="4">
        <v>160</v>
      </c>
      <c r="D10" s="4">
        <v>111.5</v>
      </c>
      <c r="E10" s="4">
        <v>43.55</v>
      </c>
      <c r="F10" s="4">
        <v>87.09</v>
      </c>
      <c r="G10" s="4">
        <v>128.5</v>
      </c>
      <c r="H10" s="4">
        <v>84</v>
      </c>
      <c r="I10" s="4">
        <v>21</v>
      </c>
      <c r="J10" s="4">
        <v>16</v>
      </c>
      <c r="K10" s="2"/>
      <c r="L10" s="5" t="s">
        <v>26</v>
      </c>
      <c r="M10" s="4">
        <v>30</v>
      </c>
      <c r="N10" s="4">
        <v>159</v>
      </c>
      <c r="O10" s="4">
        <v>55.6</v>
      </c>
      <c r="P10" s="4">
        <v>21.99</v>
      </c>
      <c r="Q10" s="4">
        <v>78.45</v>
      </c>
      <c r="R10" s="4">
        <v>112.5</v>
      </c>
      <c r="S10" s="4">
        <v>68</v>
      </c>
      <c r="T10" s="4">
        <v>29</v>
      </c>
      <c r="U10" s="4">
        <v>21</v>
      </c>
    </row>
    <row r="11" spans="1:21" x14ac:dyDescent="0.3">
      <c r="A11" s="5" t="s">
        <v>12</v>
      </c>
      <c r="B11" s="4">
        <v>25</v>
      </c>
      <c r="C11" s="4">
        <v>166</v>
      </c>
      <c r="D11" s="4">
        <v>94.6</v>
      </c>
      <c r="E11" s="4">
        <v>34.33</v>
      </c>
      <c r="F11" s="4">
        <v>64.16</v>
      </c>
      <c r="G11" s="4">
        <v>123</v>
      </c>
      <c r="H11" s="4">
        <v>65</v>
      </c>
      <c r="I11" s="4">
        <v>25</v>
      </c>
      <c r="J11" s="4">
        <v>20</v>
      </c>
      <c r="K11" s="2"/>
      <c r="L11" s="5" t="s">
        <v>27</v>
      </c>
      <c r="M11" s="4">
        <v>48</v>
      </c>
      <c r="N11" s="4">
        <v>165</v>
      </c>
      <c r="O11" s="4">
        <v>90.9</v>
      </c>
      <c r="P11" s="4">
        <v>33.39</v>
      </c>
      <c r="Q11" s="4">
        <v>57.74</v>
      </c>
      <c r="R11" s="4">
        <v>110.5</v>
      </c>
      <c r="S11" s="4">
        <v>79.5</v>
      </c>
      <c r="T11" s="4">
        <v>28</v>
      </c>
      <c r="U11" s="4">
        <v>19</v>
      </c>
    </row>
    <row r="12" spans="1:21" x14ac:dyDescent="0.3">
      <c r="A12" s="5" t="s">
        <v>13</v>
      </c>
      <c r="B12" s="4">
        <v>40</v>
      </c>
      <c r="C12" s="4">
        <v>160</v>
      </c>
      <c r="D12" s="4">
        <v>63.6</v>
      </c>
      <c r="E12" s="4">
        <v>24.84</v>
      </c>
      <c r="F12" s="4">
        <v>84.82</v>
      </c>
      <c r="G12" s="4">
        <v>130</v>
      </c>
      <c r="H12" s="4">
        <v>80.5</v>
      </c>
      <c r="I12" s="4">
        <v>26</v>
      </c>
      <c r="J12" s="4">
        <v>17</v>
      </c>
      <c r="K12" s="2"/>
      <c r="L12" s="5" t="s">
        <v>28</v>
      </c>
      <c r="M12" s="4">
        <v>54</v>
      </c>
      <c r="N12" s="4">
        <v>173</v>
      </c>
      <c r="O12" s="4">
        <v>73.099999999999994</v>
      </c>
      <c r="P12" s="4">
        <v>24.42</v>
      </c>
      <c r="Q12" s="4">
        <v>50.2</v>
      </c>
      <c r="R12" s="4">
        <v>106.5</v>
      </c>
      <c r="S12" s="4">
        <v>69</v>
      </c>
      <c r="T12" s="4">
        <v>31</v>
      </c>
      <c r="U12" s="4">
        <v>22</v>
      </c>
    </row>
    <row r="13" spans="1:21" x14ac:dyDescent="0.3">
      <c r="A13" s="5" t="s">
        <v>14</v>
      </c>
      <c r="B13" s="4">
        <v>22</v>
      </c>
      <c r="C13" s="4">
        <v>180</v>
      </c>
      <c r="D13" s="4">
        <v>65.5</v>
      </c>
      <c r="E13" s="4">
        <v>20.22</v>
      </c>
      <c r="F13" s="4">
        <v>59.34</v>
      </c>
      <c r="G13" s="4">
        <v>140</v>
      </c>
      <c r="H13" s="4">
        <v>76</v>
      </c>
      <c r="I13" s="4">
        <v>18</v>
      </c>
      <c r="J13" s="4">
        <v>17</v>
      </c>
      <c r="K13" s="2"/>
      <c r="L13" s="5" t="s">
        <v>29</v>
      </c>
      <c r="M13" s="4">
        <v>46</v>
      </c>
      <c r="N13" s="4">
        <v>160</v>
      </c>
      <c r="O13" s="4">
        <v>63.2</v>
      </c>
      <c r="P13" s="4">
        <v>24.69</v>
      </c>
      <c r="Q13" s="4">
        <v>59.56</v>
      </c>
      <c r="R13" s="4">
        <v>125</v>
      </c>
      <c r="S13" s="4">
        <v>70.5</v>
      </c>
      <c r="T13" s="4">
        <v>24</v>
      </c>
      <c r="U13" s="4">
        <v>18</v>
      </c>
    </row>
    <row r="14" spans="1:21" x14ac:dyDescent="0.3">
      <c r="A14" s="5" t="s">
        <v>15</v>
      </c>
      <c r="B14" s="4">
        <v>47</v>
      </c>
      <c r="C14" s="4">
        <v>167</v>
      </c>
      <c r="D14" s="4">
        <v>69.599999999999994</v>
      </c>
      <c r="E14" s="4">
        <v>24.96</v>
      </c>
      <c r="F14" s="4">
        <v>64.11</v>
      </c>
      <c r="G14" s="4">
        <v>117.5</v>
      </c>
      <c r="H14" s="4">
        <v>71.5</v>
      </c>
      <c r="I14" s="4">
        <v>25</v>
      </c>
      <c r="J14" s="4">
        <v>18</v>
      </c>
      <c r="K14" s="2"/>
      <c r="L14" s="5" t="s">
        <v>30</v>
      </c>
      <c r="M14" s="4">
        <v>47</v>
      </c>
      <c r="N14" s="4">
        <v>172</v>
      </c>
      <c r="O14" s="4">
        <v>81.599999999999994</v>
      </c>
      <c r="P14" s="4">
        <v>27.58</v>
      </c>
      <c r="Q14" s="4">
        <v>61.08</v>
      </c>
      <c r="R14" s="4">
        <v>150.5</v>
      </c>
      <c r="S14" s="4">
        <v>97.5</v>
      </c>
      <c r="T14" s="4">
        <v>28</v>
      </c>
      <c r="U14" s="4">
        <v>19</v>
      </c>
    </row>
    <row r="15" spans="1:21" x14ac:dyDescent="0.3">
      <c r="A15" s="5" t="s">
        <v>16</v>
      </c>
      <c r="B15" s="4">
        <v>37</v>
      </c>
      <c r="C15" s="4">
        <v>156</v>
      </c>
      <c r="D15" s="4">
        <v>51.5</v>
      </c>
      <c r="E15" s="4">
        <v>21.16</v>
      </c>
      <c r="F15" s="4">
        <v>82.29</v>
      </c>
      <c r="G15" s="4">
        <v>101.5</v>
      </c>
      <c r="H15" s="4">
        <v>67.5</v>
      </c>
      <c r="I15" s="4">
        <v>29</v>
      </c>
      <c r="J15" s="4">
        <v>17</v>
      </c>
      <c r="K15" s="2"/>
      <c r="L15" s="5" t="s">
        <v>31</v>
      </c>
      <c r="M15" s="4">
        <v>38</v>
      </c>
      <c r="N15" s="4">
        <v>169</v>
      </c>
      <c r="O15" s="4">
        <v>79.3</v>
      </c>
      <c r="P15" s="4">
        <v>27.77</v>
      </c>
      <c r="Q15" s="4">
        <v>65.38</v>
      </c>
      <c r="R15" s="4">
        <v>127.5</v>
      </c>
      <c r="S15" s="4">
        <v>72</v>
      </c>
      <c r="T15" s="4">
        <v>25</v>
      </c>
      <c r="U15" s="4">
        <v>21</v>
      </c>
    </row>
    <row r="16" spans="1:21" x14ac:dyDescent="0.3">
      <c r="A16" s="5" t="s">
        <v>17</v>
      </c>
      <c r="B16" s="4">
        <v>40</v>
      </c>
      <c r="C16" s="4">
        <v>168</v>
      </c>
      <c r="D16" s="4">
        <v>61.8</v>
      </c>
      <c r="E16" s="4">
        <v>21.9</v>
      </c>
      <c r="F16" s="4">
        <v>65.150000000000006</v>
      </c>
      <c r="G16" s="4">
        <v>123.5</v>
      </c>
      <c r="H16" s="4">
        <v>78</v>
      </c>
      <c r="I16" s="4">
        <v>31</v>
      </c>
      <c r="J16" s="4">
        <v>21</v>
      </c>
      <c r="K16" s="2"/>
      <c r="L16" s="5" t="s">
        <v>32</v>
      </c>
      <c r="M16" s="4">
        <v>51</v>
      </c>
      <c r="N16" s="4">
        <v>160</v>
      </c>
      <c r="O16" s="4">
        <v>66.599999999999994</v>
      </c>
      <c r="P16" s="4">
        <v>26.02</v>
      </c>
      <c r="Q16" s="4">
        <v>66.94</v>
      </c>
      <c r="R16" s="4">
        <v>113.5</v>
      </c>
      <c r="S16" s="4">
        <v>74.5</v>
      </c>
      <c r="T16" s="4">
        <v>29</v>
      </c>
      <c r="U16" s="4">
        <v>17</v>
      </c>
    </row>
    <row r="17" spans="1:21" x14ac:dyDescent="0.3">
      <c r="A17" s="5" t="s">
        <v>18</v>
      </c>
      <c r="B17" s="4">
        <v>25</v>
      </c>
      <c r="C17" s="4">
        <v>163</v>
      </c>
      <c r="D17" s="4">
        <v>51.4</v>
      </c>
      <c r="E17" s="4">
        <v>19.350000000000001</v>
      </c>
      <c r="F17" s="4">
        <v>71.510000000000005</v>
      </c>
      <c r="G17" s="4">
        <v>128.5</v>
      </c>
      <c r="H17" s="4">
        <v>70.5</v>
      </c>
      <c r="I17" s="4">
        <v>24</v>
      </c>
      <c r="J17" s="4">
        <v>20</v>
      </c>
      <c r="K17" s="1"/>
      <c r="L17" s="13"/>
      <c r="M17" s="3"/>
      <c r="N17" s="3"/>
      <c r="O17" s="3"/>
      <c r="P17" s="3"/>
      <c r="Q17" s="12"/>
      <c r="R17" s="12"/>
      <c r="S17" s="12"/>
      <c r="T17" s="12"/>
      <c r="U17" s="12"/>
    </row>
    <row r="18" spans="1:21" x14ac:dyDescent="0.3">
      <c r="A18" s="13"/>
      <c r="B18" s="3"/>
      <c r="C18" s="3"/>
      <c r="D18" s="3"/>
      <c r="E18" s="3"/>
      <c r="F18" s="3"/>
      <c r="G18" s="3"/>
      <c r="H18" s="3"/>
      <c r="I18" s="3"/>
      <c r="J18" s="3"/>
      <c r="K18" s="1"/>
      <c r="L18" s="13"/>
      <c r="M18" s="3"/>
      <c r="N18" s="3"/>
      <c r="O18" s="3"/>
      <c r="P18" s="3"/>
      <c r="Q18" s="12"/>
      <c r="R18" s="12"/>
      <c r="S18" s="12"/>
      <c r="T18" s="12"/>
      <c r="U18" s="12"/>
    </row>
    <row r="19" spans="1:21" x14ac:dyDescent="0.3">
      <c r="A19" s="5" t="s">
        <v>1</v>
      </c>
      <c r="B19" s="7">
        <f>AVERAGE(B3:B17)</f>
        <v>37.533333333333331</v>
      </c>
      <c r="C19" s="7">
        <f t="shared" ref="C19:E19" si="0">AVERAGE(C3:C17)</f>
        <v>166.06666666666666</v>
      </c>
      <c r="D19" s="7">
        <f t="shared" si="0"/>
        <v>72.493333333333339</v>
      </c>
      <c r="E19" s="6">
        <f t="shared" si="0"/>
        <v>26.306000000000001</v>
      </c>
      <c r="F19" s="6">
        <f>AVERAGE(F3:F17)</f>
        <v>70.472000000000008</v>
      </c>
      <c r="G19" s="6">
        <f>AVERAGE(G3:G17)</f>
        <v>126.46666666666667</v>
      </c>
      <c r="H19" s="6">
        <f t="shared" ref="H19:J19" si="1">AVERAGE(H3:H17)</f>
        <v>77.466666666666669</v>
      </c>
      <c r="I19" s="6">
        <f t="shared" si="1"/>
        <v>23.266666666666666</v>
      </c>
      <c r="J19" s="6">
        <f t="shared" si="1"/>
        <v>18.066666666666666</v>
      </c>
      <c r="K19" s="1"/>
      <c r="L19" s="5" t="s">
        <v>1</v>
      </c>
      <c r="M19" s="7">
        <f>AVERAGE(M3:M17)</f>
        <v>43.857142857142854</v>
      </c>
      <c r="N19" s="7">
        <f t="shared" ref="N19:P19" si="2">AVERAGE(N3:N17)</f>
        <v>166.5</v>
      </c>
      <c r="O19" s="7">
        <f t="shared" si="2"/>
        <v>71</v>
      </c>
      <c r="P19" s="6">
        <f t="shared" si="2"/>
        <v>25.609285714285711</v>
      </c>
      <c r="Q19" s="6">
        <f>AVERAGE(Q3:Q17)</f>
        <v>64.826428571428579</v>
      </c>
      <c r="R19" s="6">
        <f>AVERAGE(R3:R17)</f>
        <v>125.82142857142857</v>
      </c>
      <c r="S19" s="6">
        <f t="shared" ref="S19:U19" si="3">AVERAGE(S3:S17)</f>
        <v>77.642857142857139</v>
      </c>
      <c r="T19" s="6">
        <f t="shared" si="3"/>
        <v>25.285714285714285</v>
      </c>
      <c r="U19" s="6">
        <f t="shared" si="3"/>
        <v>19.857142857142858</v>
      </c>
    </row>
    <row r="20" spans="1:21" x14ac:dyDescent="0.3">
      <c r="A20" s="5" t="s">
        <v>2</v>
      </c>
      <c r="B20" s="7">
        <f>_xlfn.STDEV.S(B3:B17)</f>
        <v>10.070229580775397</v>
      </c>
      <c r="C20" s="7">
        <f t="shared" ref="C20:E20" si="4">_xlfn.STDEV.S(C3:C17)</f>
        <v>7.9683899311741815</v>
      </c>
      <c r="D20" s="7">
        <f t="shared" si="4"/>
        <v>18.398154669370911</v>
      </c>
      <c r="E20" s="6">
        <f t="shared" si="4"/>
        <v>6.6419422718702661</v>
      </c>
      <c r="F20" s="6">
        <f>_xlfn.STDEV.S(F3:F17)</f>
        <v>12.778921371875247</v>
      </c>
      <c r="G20" s="6">
        <f>_xlfn.STDEV.S(G3:G17)</f>
        <v>15.962530530977263</v>
      </c>
      <c r="H20" s="6">
        <f t="shared" ref="H20:J20" si="5">_xlfn.STDEV.S(H3:H17)</f>
        <v>8.4841589082803406</v>
      </c>
      <c r="I20" s="6">
        <f t="shared" si="5"/>
        <v>4.199773236508757</v>
      </c>
      <c r="J20" s="6">
        <f t="shared" si="5"/>
        <v>1.9808608037440512</v>
      </c>
      <c r="K20" s="1"/>
      <c r="L20" s="5" t="s">
        <v>2</v>
      </c>
      <c r="M20" s="7">
        <f>_xlfn.STDEV.S(M3:M17)</f>
        <v>8.5472185566384749</v>
      </c>
      <c r="N20" s="7">
        <f t="shared" ref="N20:P20" si="6">_xlfn.STDEV.S(N3:N17)</f>
        <v>6.7453687816160208</v>
      </c>
      <c r="O20" s="7">
        <f t="shared" si="6"/>
        <v>12.85139920547414</v>
      </c>
      <c r="P20" s="6">
        <f t="shared" si="6"/>
        <v>4.5873563096938499</v>
      </c>
      <c r="Q20" s="6">
        <f>_xlfn.STDEV.S(Q3:Q17)</f>
        <v>8.470310690099355</v>
      </c>
      <c r="R20" s="6">
        <f>_xlfn.STDEV.S(R3:R17)</f>
        <v>14.756494193375387</v>
      </c>
      <c r="S20" s="6">
        <f t="shared" ref="S20:U20" si="7">_xlfn.STDEV.S(S3:S17)</f>
        <v>10.305764950201006</v>
      </c>
      <c r="T20" s="6">
        <f t="shared" si="7"/>
        <v>4.7300767830582195</v>
      </c>
      <c r="U20" s="6">
        <f t="shared" si="7"/>
        <v>1.6574838603294895</v>
      </c>
    </row>
  </sheetData>
  <mergeCells count="2">
    <mergeCell ref="L1:U1"/>
    <mergeCell ref="B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workbookViewId="0">
      <selection activeCell="B1" sqref="B1:E3"/>
    </sheetView>
  </sheetViews>
  <sheetFormatPr baseColWidth="10" defaultColWidth="8.88671875" defaultRowHeight="14.4" x14ac:dyDescent="0.3"/>
  <sheetData>
    <row r="1" spans="1:11" x14ac:dyDescent="0.3">
      <c r="A1" s="9"/>
      <c r="B1" s="39" t="s">
        <v>3</v>
      </c>
      <c r="C1" s="39"/>
      <c r="D1" s="39"/>
      <c r="E1" s="39"/>
      <c r="G1" s="9"/>
      <c r="H1" s="39" t="s">
        <v>0</v>
      </c>
      <c r="I1" s="39"/>
      <c r="J1" s="39"/>
      <c r="K1" s="39"/>
    </row>
    <row r="2" spans="1:11" ht="15.6" x14ac:dyDescent="0.3">
      <c r="A2" s="15"/>
      <c r="B2" s="44" t="s">
        <v>42</v>
      </c>
      <c r="C2" s="44"/>
      <c r="D2" s="44" t="s">
        <v>43</v>
      </c>
      <c r="E2" s="44"/>
      <c r="G2" s="21"/>
      <c r="H2" s="44" t="s">
        <v>42</v>
      </c>
      <c r="I2" s="44"/>
      <c r="J2" s="44" t="s">
        <v>43</v>
      </c>
      <c r="K2" s="44"/>
    </row>
    <row r="3" spans="1:11" ht="15.6" x14ac:dyDescent="0.3">
      <c r="A3" s="15"/>
      <c r="B3" s="10" t="s">
        <v>44</v>
      </c>
      <c r="C3" s="10" t="s">
        <v>45</v>
      </c>
      <c r="D3" s="10" t="s">
        <v>44</v>
      </c>
      <c r="E3" s="10" t="s">
        <v>45</v>
      </c>
      <c r="G3" s="21"/>
      <c r="H3" s="10" t="s">
        <v>44</v>
      </c>
      <c r="I3" s="10" t="s">
        <v>45</v>
      </c>
      <c r="J3" s="10" t="s">
        <v>44</v>
      </c>
      <c r="K3" s="10" t="s">
        <v>45</v>
      </c>
    </row>
    <row r="4" spans="1:11" ht="15.6" x14ac:dyDescent="0.3">
      <c r="A4" s="16" t="s">
        <v>14</v>
      </c>
      <c r="B4" s="10">
        <v>4.8</v>
      </c>
      <c r="C4" s="10">
        <v>5.9</v>
      </c>
      <c r="D4" s="10">
        <v>6.7</v>
      </c>
      <c r="E4" s="10">
        <v>5.8</v>
      </c>
      <c r="G4" s="16" t="s">
        <v>28</v>
      </c>
      <c r="H4" s="10">
        <v>7.3</v>
      </c>
      <c r="I4" s="10">
        <v>6.8</v>
      </c>
      <c r="J4" s="10">
        <v>5</v>
      </c>
      <c r="K4" s="10">
        <v>5.0999999999999996</v>
      </c>
    </row>
    <row r="5" spans="1:11" ht="15.6" x14ac:dyDescent="0.3">
      <c r="A5" s="16" t="s">
        <v>15</v>
      </c>
      <c r="B5" s="10">
        <v>4.2</v>
      </c>
      <c r="C5" s="10">
        <v>4.4000000000000004</v>
      </c>
      <c r="D5" s="10">
        <v>4.7</v>
      </c>
      <c r="E5" s="10">
        <v>4</v>
      </c>
      <c r="G5" s="16" t="s">
        <v>30</v>
      </c>
      <c r="H5" s="10">
        <v>3.6</v>
      </c>
      <c r="I5" s="10">
        <v>3.7</v>
      </c>
      <c r="J5" s="10">
        <v>2.6</v>
      </c>
      <c r="K5" s="10">
        <v>2.6</v>
      </c>
    </row>
    <row r="6" spans="1:11" ht="15.6" x14ac:dyDescent="0.3">
      <c r="A6" s="16" t="s">
        <v>16</v>
      </c>
      <c r="B6" s="10">
        <v>8.1</v>
      </c>
      <c r="C6" s="10">
        <v>7.8</v>
      </c>
      <c r="D6" s="10">
        <v>7.9</v>
      </c>
      <c r="E6" s="10">
        <v>8.1</v>
      </c>
      <c r="G6" s="16" t="s">
        <v>19</v>
      </c>
      <c r="H6" s="10">
        <v>8.1</v>
      </c>
      <c r="I6" s="10">
        <v>7</v>
      </c>
      <c r="J6" s="10">
        <v>3.4</v>
      </c>
      <c r="K6" s="10">
        <v>3</v>
      </c>
    </row>
    <row r="7" spans="1:11" ht="15.6" x14ac:dyDescent="0.3">
      <c r="A7" s="16" t="s">
        <v>17</v>
      </c>
      <c r="B7" s="10">
        <v>9.6999999999999993</v>
      </c>
      <c r="C7" s="10">
        <v>7.3</v>
      </c>
      <c r="D7" s="10">
        <v>7.1</v>
      </c>
      <c r="E7" s="10">
        <v>6.4</v>
      </c>
      <c r="G7" s="16" t="s">
        <v>23</v>
      </c>
      <c r="H7" s="10">
        <v>5.2</v>
      </c>
      <c r="I7" s="10">
        <v>4.9000000000000004</v>
      </c>
      <c r="J7" s="10">
        <v>2.9</v>
      </c>
      <c r="K7" s="10">
        <v>2.1</v>
      </c>
    </row>
    <row r="8" spans="1:11" ht="15.6" x14ac:dyDescent="0.3">
      <c r="A8" s="16" t="s">
        <v>18</v>
      </c>
      <c r="B8" s="10">
        <v>7.1</v>
      </c>
      <c r="C8" s="10">
        <v>6.1</v>
      </c>
      <c r="D8" s="10">
        <v>6.1</v>
      </c>
      <c r="E8" s="10">
        <v>6.7</v>
      </c>
      <c r="G8" s="16" t="s">
        <v>29</v>
      </c>
      <c r="H8" s="10">
        <v>4.4000000000000004</v>
      </c>
      <c r="I8" s="10">
        <v>4</v>
      </c>
      <c r="J8" s="10">
        <v>2.8</v>
      </c>
      <c r="K8" s="10">
        <v>3</v>
      </c>
    </row>
    <row r="9" spans="1:11" ht="15.6" x14ac:dyDescent="0.3">
      <c r="A9" s="16" t="s">
        <v>9</v>
      </c>
      <c r="B9" s="10">
        <v>6.6</v>
      </c>
      <c r="C9" s="10">
        <v>7.1</v>
      </c>
      <c r="D9" s="10">
        <v>7.4</v>
      </c>
      <c r="E9" s="10">
        <v>7</v>
      </c>
      <c r="G9" s="16" t="s">
        <v>31</v>
      </c>
      <c r="H9" s="10">
        <v>5.9</v>
      </c>
      <c r="I9" s="10">
        <v>5.3</v>
      </c>
      <c r="J9" s="10">
        <v>2.8</v>
      </c>
      <c r="K9" s="10">
        <v>2.7</v>
      </c>
    </row>
    <row r="10" spans="1:11" ht="15.6" x14ac:dyDescent="0.3">
      <c r="A10" s="16" t="s">
        <v>10</v>
      </c>
      <c r="B10" s="10">
        <v>2.2999999999999998</v>
      </c>
      <c r="C10" s="10">
        <v>1.2</v>
      </c>
      <c r="D10" s="10">
        <v>2</v>
      </c>
      <c r="E10" s="10">
        <v>1.8</v>
      </c>
      <c r="G10" s="16" t="s">
        <v>20</v>
      </c>
      <c r="H10" s="10">
        <v>6.1</v>
      </c>
      <c r="I10" s="10">
        <v>5.0999999999999996</v>
      </c>
      <c r="J10" s="10">
        <v>2.8</v>
      </c>
      <c r="K10" s="10">
        <v>2.9</v>
      </c>
    </row>
    <row r="11" spans="1:11" ht="15.6" x14ac:dyDescent="0.3">
      <c r="A11" s="16" t="s">
        <v>11</v>
      </c>
      <c r="B11" s="10">
        <v>4.3</v>
      </c>
      <c r="C11" s="10">
        <v>3.1</v>
      </c>
      <c r="D11" s="10">
        <v>7</v>
      </c>
      <c r="E11" s="10">
        <v>6.7</v>
      </c>
      <c r="G11" s="16" t="s">
        <v>21</v>
      </c>
      <c r="H11" s="10">
        <v>7.2</v>
      </c>
      <c r="I11" s="10">
        <v>5.2</v>
      </c>
      <c r="J11" s="10">
        <v>2.9</v>
      </c>
      <c r="K11" s="10">
        <v>2.7</v>
      </c>
    </row>
    <row r="12" spans="1:11" ht="15.6" x14ac:dyDescent="0.3">
      <c r="A12" s="16" t="s">
        <v>12</v>
      </c>
      <c r="B12" s="10">
        <v>3.8</v>
      </c>
      <c r="C12" s="10">
        <v>4.7</v>
      </c>
      <c r="D12" s="10">
        <v>3.1</v>
      </c>
      <c r="E12" s="10">
        <v>2.1</v>
      </c>
      <c r="G12" s="16" t="s">
        <v>32</v>
      </c>
      <c r="H12" s="10">
        <v>7.8</v>
      </c>
      <c r="I12" s="10">
        <v>7</v>
      </c>
      <c r="J12" s="10">
        <v>4.8</v>
      </c>
      <c r="K12" s="10">
        <v>3.8</v>
      </c>
    </row>
    <row r="13" spans="1:11" ht="15.6" x14ac:dyDescent="0.3">
      <c r="A13" s="16" t="s">
        <v>13</v>
      </c>
      <c r="B13" s="10">
        <v>4.5999999999999996</v>
      </c>
      <c r="C13" s="10">
        <v>3.7</v>
      </c>
      <c r="D13" s="10">
        <v>5.9</v>
      </c>
      <c r="E13" s="10">
        <v>3.8</v>
      </c>
      <c r="G13" s="16" t="s">
        <v>22</v>
      </c>
      <c r="H13" s="10">
        <v>5.0999999999999996</v>
      </c>
      <c r="I13" s="10">
        <v>2.4</v>
      </c>
      <c r="J13" s="10">
        <v>3.9</v>
      </c>
      <c r="K13" s="10">
        <v>3.1</v>
      </c>
    </row>
    <row r="14" spans="1:11" ht="15.6" x14ac:dyDescent="0.3">
      <c r="A14" s="16" t="s">
        <v>4</v>
      </c>
      <c r="B14" s="10">
        <v>2.8</v>
      </c>
      <c r="C14" s="10">
        <v>2</v>
      </c>
      <c r="D14" s="10">
        <v>3.4</v>
      </c>
      <c r="E14" s="10">
        <v>2</v>
      </c>
      <c r="G14" s="16" t="s">
        <v>24</v>
      </c>
      <c r="H14" s="10">
        <v>5.4</v>
      </c>
      <c r="I14" s="10">
        <v>3.1</v>
      </c>
      <c r="J14" s="10">
        <v>4.0999999999999996</v>
      </c>
      <c r="K14" s="10">
        <v>3.6</v>
      </c>
    </row>
    <row r="15" spans="1:11" ht="15.6" x14ac:dyDescent="0.3">
      <c r="A15" s="16" t="s">
        <v>5</v>
      </c>
      <c r="B15" s="10">
        <v>0.9</v>
      </c>
      <c r="C15" s="10">
        <v>0.9</v>
      </c>
      <c r="D15" s="10">
        <v>1.7</v>
      </c>
      <c r="E15" s="10">
        <v>1.6</v>
      </c>
      <c r="G15" s="16" t="s">
        <v>25</v>
      </c>
      <c r="H15" s="10">
        <v>2.5</v>
      </c>
      <c r="I15" s="10">
        <v>1.2</v>
      </c>
      <c r="J15" s="10">
        <v>1.8</v>
      </c>
      <c r="K15" s="10">
        <v>1.7</v>
      </c>
    </row>
    <row r="16" spans="1:11" ht="15.6" x14ac:dyDescent="0.3">
      <c r="A16" s="16" t="s">
        <v>6</v>
      </c>
      <c r="B16" s="10">
        <v>1.3</v>
      </c>
      <c r="C16" s="10">
        <v>1.9</v>
      </c>
      <c r="D16" s="10">
        <v>1.7</v>
      </c>
      <c r="E16" s="10">
        <v>1.6</v>
      </c>
      <c r="G16" s="16" t="s">
        <v>26</v>
      </c>
      <c r="H16" s="10">
        <v>3.1</v>
      </c>
      <c r="I16" s="10">
        <v>2.4</v>
      </c>
      <c r="J16" s="10">
        <v>1.1000000000000001</v>
      </c>
      <c r="K16" s="10">
        <v>1.6</v>
      </c>
    </row>
    <row r="17" spans="1:11" ht="15.6" x14ac:dyDescent="0.3">
      <c r="A17" s="16" t="s">
        <v>7</v>
      </c>
      <c r="B17" s="10">
        <v>1.3</v>
      </c>
      <c r="C17" s="10">
        <v>1.9</v>
      </c>
      <c r="D17" s="10">
        <v>2</v>
      </c>
      <c r="E17" s="10">
        <v>2.7</v>
      </c>
      <c r="G17" s="16" t="s">
        <v>27</v>
      </c>
      <c r="H17" s="10">
        <v>4.7</v>
      </c>
      <c r="I17" s="10">
        <v>3.8</v>
      </c>
      <c r="J17" s="10">
        <v>1.4</v>
      </c>
      <c r="K17" s="10">
        <v>1.8</v>
      </c>
    </row>
    <row r="18" spans="1:11" ht="15.6" x14ac:dyDescent="0.3">
      <c r="A18" s="16" t="s">
        <v>8</v>
      </c>
      <c r="B18" s="10">
        <v>1.3</v>
      </c>
      <c r="C18" s="10">
        <v>2.4</v>
      </c>
      <c r="D18" s="10">
        <v>1.7</v>
      </c>
      <c r="E18" s="10">
        <v>2.7</v>
      </c>
      <c r="G18" s="21"/>
      <c r="H18" s="9"/>
      <c r="I18" s="9"/>
      <c r="J18" s="9"/>
      <c r="K18" s="9"/>
    </row>
    <row r="19" spans="1:11" x14ac:dyDescent="0.3">
      <c r="A19" s="21"/>
      <c r="B19" s="9"/>
      <c r="C19" s="9"/>
      <c r="D19" s="9"/>
      <c r="E19" s="9"/>
      <c r="G19" s="21"/>
      <c r="H19" s="9"/>
      <c r="I19" s="9"/>
      <c r="J19" s="9"/>
      <c r="K19" s="9"/>
    </row>
    <row r="20" spans="1:11" x14ac:dyDescent="0.3">
      <c r="A20" s="5" t="s">
        <v>1</v>
      </c>
      <c r="B20" s="6">
        <f>AVERAGE(B3:B18)</f>
        <v>4.2066666666666652</v>
      </c>
      <c r="C20" s="6">
        <f t="shared" ref="C20:E20" si="0">AVERAGE(C3:C18)</f>
        <v>4.0266666666666673</v>
      </c>
      <c r="D20" s="6">
        <f t="shared" si="0"/>
        <v>4.5600000000000005</v>
      </c>
      <c r="E20" s="6">
        <f t="shared" si="0"/>
        <v>4.2</v>
      </c>
      <c r="G20" s="5" t="s">
        <v>1</v>
      </c>
      <c r="H20" s="6">
        <f>AVERAGE(H4:H17)</f>
        <v>5.4571428571428573</v>
      </c>
      <c r="I20" s="6">
        <f>AVERAGE(I4:I17)</f>
        <v>4.4214285714285717</v>
      </c>
      <c r="J20" s="6">
        <f>AVERAGE(J4:J17)</f>
        <v>3.0214285714285714</v>
      </c>
      <c r="K20" s="6">
        <f>AVERAGE(K4:K17)</f>
        <v>2.8357142857142859</v>
      </c>
    </row>
    <row r="21" spans="1:11" x14ac:dyDescent="0.3">
      <c r="A21" s="5" t="s">
        <v>2</v>
      </c>
      <c r="B21" s="6">
        <f>_xlfn.STDEV.S(B3:B18)</f>
        <v>2.6993297227980433</v>
      </c>
      <c r="C21" s="6">
        <f t="shared" ref="C21:E21" si="1">_xlfn.STDEV.S(C3:C18)</f>
        <v>2.3502178217186191</v>
      </c>
      <c r="D21" s="6">
        <f t="shared" si="1"/>
        <v>2.4130005032265167</v>
      </c>
      <c r="E21" s="6">
        <f t="shared" si="1"/>
        <v>2.3326869853086958</v>
      </c>
      <c r="G21" s="5" t="s">
        <v>2</v>
      </c>
      <c r="H21" s="6">
        <f>_xlfn.STDEV.S(H4:H17)</f>
        <v>1.7354734604332409</v>
      </c>
      <c r="I21" s="6">
        <f>_xlfn.STDEV.S(I4:I17)</f>
        <v>1.8060490543762053</v>
      </c>
      <c r="J21" s="6">
        <f>_xlfn.STDEV.S(J4:J17)</f>
        <v>1.1543753365272573</v>
      </c>
      <c r="K21" s="6">
        <f>_xlfn.STDEV.S(K4:K17)</f>
        <v>0.93200127340383665</v>
      </c>
    </row>
  </sheetData>
  <mergeCells count="6">
    <mergeCell ref="B2:C2"/>
    <mergeCell ref="D2:E2"/>
    <mergeCell ref="B1:E1"/>
    <mergeCell ref="H1:K1"/>
    <mergeCell ref="H2:I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894-D8B8-4982-8207-43D8DC9B33AF}">
  <dimension ref="A1:AI66"/>
  <sheetViews>
    <sheetView zoomScale="136" zoomScaleNormal="85" workbookViewId="0">
      <selection activeCell="B19" sqref="B19"/>
    </sheetView>
  </sheetViews>
  <sheetFormatPr baseColWidth="10" defaultRowHeight="14.4" x14ac:dyDescent="0.3"/>
  <cols>
    <col min="8" max="8" width="13.21875" bestFit="1" customWidth="1"/>
  </cols>
  <sheetData>
    <row r="1" spans="1:35" x14ac:dyDescent="0.3">
      <c r="A1" s="9"/>
      <c r="B1" s="40" t="s">
        <v>54</v>
      </c>
      <c r="C1" s="41"/>
      <c r="D1" s="41"/>
      <c r="E1" s="42"/>
      <c r="G1" s="9"/>
      <c r="H1" s="40" t="s">
        <v>55</v>
      </c>
      <c r="I1" s="41"/>
      <c r="J1" s="41"/>
      <c r="K1" s="42"/>
      <c r="M1" s="9"/>
      <c r="N1" s="40" t="s">
        <v>60</v>
      </c>
      <c r="O1" s="41"/>
      <c r="P1" s="41"/>
      <c r="Q1" s="42"/>
      <c r="S1" s="9"/>
      <c r="T1" s="40" t="s">
        <v>61</v>
      </c>
      <c r="U1" s="41"/>
      <c r="V1" s="41"/>
      <c r="W1" s="42"/>
      <c r="Y1" s="9"/>
      <c r="Z1" s="40" t="s">
        <v>58</v>
      </c>
      <c r="AA1" s="41"/>
      <c r="AB1" s="41"/>
      <c r="AC1" s="42"/>
      <c r="AE1" s="9"/>
      <c r="AF1" s="40" t="s">
        <v>59</v>
      </c>
      <c r="AG1" s="41"/>
      <c r="AH1" s="41"/>
      <c r="AI1" s="42"/>
    </row>
    <row r="2" spans="1:35" ht="15.6" x14ac:dyDescent="0.3">
      <c r="A2" s="15"/>
      <c r="B2" s="17" t="s">
        <v>48</v>
      </c>
      <c r="C2" s="17" t="s">
        <v>49</v>
      </c>
      <c r="D2" s="17" t="s">
        <v>50</v>
      </c>
      <c r="E2" s="17" t="s">
        <v>51</v>
      </c>
      <c r="G2" s="9"/>
      <c r="H2" s="17" t="s">
        <v>48</v>
      </c>
      <c r="I2" s="17" t="s">
        <v>49</v>
      </c>
      <c r="J2" s="17" t="s">
        <v>50</v>
      </c>
      <c r="K2" s="17" t="s">
        <v>51</v>
      </c>
      <c r="M2" s="15"/>
      <c r="N2" s="17" t="s">
        <v>48</v>
      </c>
      <c r="O2" s="17" t="s">
        <v>49</v>
      </c>
      <c r="P2" s="17" t="s">
        <v>50</v>
      </c>
      <c r="Q2" s="17" t="s">
        <v>51</v>
      </c>
      <c r="S2" s="21"/>
      <c r="T2" s="17" t="s">
        <v>48</v>
      </c>
      <c r="U2" s="17" t="s">
        <v>49</v>
      </c>
      <c r="V2" s="17" t="s">
        <v>50</v>
      </c>
      <c r="W2" s="17" t="s">
        <v>51</v>
      </c>
      <c r="Y2" s="15"/>
      <c r="Z2" s="17" t="s">
        <v>48</v>
      </c>
      <c r="AA2" s="17" t="s">
        <v>49</v>
      </c>
      <c r="AB2" s="17" t="s">
        <v>50</v>
      </c>
      <c r="AC2" s="17" t="s">
        <v>51</v>
      </c>
      <c r="AE2" s="9"/>
      <c r="AF2" s="17" t="s">
        <v>48</v>
      </c>
      <c r="AG2" s="17" t="s">
        <v>49</v>
      </c>
      <c r="AH2" s="17" t="s">
        <v>50</v>
      </c>
      <c r="AI2" s="17" t="s">
        <v>51</v>
      </c>
    </row>
    <row r="3" spans="1:35" ht="15.6" x14ac:dyDescent="0.3">
      <c r="A3" s="16" t="s">
        <v>14</v>
      </c>
      <c r="B3" s="10">
        <v>76.569999999999993</v>
      </c>
      <c r="C3" s="10">
        <v>82.3</v>
      </c>
      <c r="D3" s="10">
        <v>76.540000000000006</v>
      </c>
      <c r="E3" s="10">
        <v>79.959999999999994</v>
      </c>
      <c r="G3" s="16" t="s">
        <v>28</v>
      </c>
      <c r="H3" s="10">
        <v>83.27</v>
      </c>
      <c r="I3" s="10">
        <v>81.44</v>
      </c>
      <c r="J3" s="10">
        <v>82.22</v>
      </c>
      <c r="K3" s="10">
        <v>84.5</v>
      </c>
      <c r="M3" s="16" t="s">
        <v>14</v>
      </c>
      <c r="N3" s="10">
        <v>26.81</v>
      </c>
      <c r="O3" s="10">
        <v>29.45</v>
      </c>
      <c r="P3" s="10">
        <v>32.31</v>
      </c>
      <c r="Q3" s="10">
        <v>28.6</v>
      </c>
      <c r="S3" s="16" t="s">
        <v>28</v>
      </c>
      <c r="T3" s="10">
        <v>31.92</v>
      </c>
      <c r="U3" s="10">
        <v>29.18</v>
      </c>
      <c r="V3" s="10">
        <v>28.19</v>
      </c>
      <c r="W3" s="10">
        <v>25.43</v>
      </c>
      <c r="Y3" s="16" t="s">
        <v>14</v>
      </c>
      <c r="Z3" s="10">
        <v>359.17</v>
      </c>
      <c r="AA3" s="10">
        <v>421.5</v>
      </c>
      <c r="AB3" s="10">
        <v>395.25</v>
      </c>
      <c r="AC3" s="10">
        <v>433.42</v>
      </c>
      <c r="AE3" s="16" t="s">
        <v>28</v>
      </c>
      <c r="AF3" s="10">
        <v>417.17</v>
      </c>
      <c r="AG3" s="10">
        <v>421.75</v>
      </c>
      <c r="AH3" s="10">
        <v>428.17</v>
      </c>
      <c r="AI3" s="10">
        <v>444.42</v>
      </c>
    </row>
    <row r="4" spans="1:35" ht="15.6" x14ac:dyDescent="0.3">
      <c r="A4" s="16" t="s">
        <v>15</v>
      </c>
      <c r="B4" s="10">
        <v>73.88</v>
      </c>
      <c r="C4" s="10">
        <v>76.11</v>
      </c>
      <c r="D4" s="10">
        <v>78.66</v>
      </c>
      <c r="E4" s="10">
        <v>80.31</v>
      </c>
      <c r="G4" s="16" t="s">
        <v>30</v>
      </c>
      <c r="H4" s="10">
        <v>85.3</v>
      </c>
      <c r="I4" s="10">
        <v>86.64</v>
      </c>
      <c r="J4" s="10">
        <v>87.92</v>
      </c>
      <c r="K4" s="10">
        <v>86.66</v>
      </c>
      <c r="M4" s="16" t="s">
        <v>15</v>
      </c>
      <c r="N4" s="10">
        <v>24.98</v>
      </c>
      <c r="O4" s="10">
        <v>23.75</v>
      </c>
      <c r="P4" s="10">
        <v>26.9</v>
      </c>
      <c r="Q4" s="10">
        <v>23.8</v>
      </c>
      <c r="S4" s="16" t="s">
        <v>30</v>
      </c>
      <c r="T4" s="10">
        <v>28.69</v>
      </c>
      <c r="U4" s="10">
        <v>20.21</v>
      </c>
      <c r="V4" s="10">
        <v>21.54</v>
      </c>
      <c r="W4" s="10">
        <v>19.86</v>
      </c>
      <c r="Y4" s="16" t="s">
        <v>15</v>
      </c>
      <c r="Z4" s="10">
        <v>435</v>
      </c>
      <c r="AA4" s="10">
        <v>427.08</v>
      </c>
      <c r="AB4" s="10">
        <v>418.17</v>
      </c>
      <c r="AC4" s="10">
        <v>403.58</v>
      </c>
      <c r="AE4" s="16" t="s">
        <v>30</v>
      </c>
      <c r="AF4" s="10">
        <v>446.17</v>
      </c>
      <c r="AG4" s="10">
        <v>394.75</v>
      </c>
      <c r="AH4" s="10">
        <v>434</v>
      </c>
      <c r="AI4" s="10">
        <v>442.58</v>
      </c>
    </row>
    <row r="5" spans="1:35" ht="15.6" x14ac:dyDescent="0.3">
      <c r="A5" s="16" t="s">
        <v>16</v>
      </c>
      <c r="B5" s="10">
        <v>91.35</v>
      </c>
      <c r="C5" s="10">
        <v>87.67</v>
      </c>
      <c r="D5" s="10">
        <v>88.55</v>
      </c>
      <c r="E5" s="10">
        <v>88.73</v>
      </c>
      <c r="G5" s="16" t="s">
        <v>19</v>
      </c>
      <c r="H5" s="10">
        <v>81.040000000000006</v>
      </c>
      <c r="I5" s="10">
        <v>81.38</v>
      </c>
      <c r="J5" s="10">
        <v>79.64</v>
      </c>
      <c r="K5" s="10">
        <v>79.989999999999995</v>
      </c>
      <c r="M5" s="16" t="s">
        <v>16</v>
      </c>
      <c r="N5" s="10">
        <v>25.87</v>
      </c>
      <c r="O5" s="10">
        <v>24.39</v>
      </c>
      <c r="P5" s="10">
        <v>21.35</v>
      </c>
      <c r="Q5" s="18">
        <v>28.25</v>
      </c>
      <c r="S5" s="16" t="s">
        <v>19</v>
      </c>
      <c r="T5" s="10">
        <v>27.45</v>
      </c>
      <c r="U5" s="10">
        <v>22.84</v>
      </c>
      <c r="V5" s="10">
        <v>20.079999999999998</v>
      </c>
      <c r="W5" s="10">
        <v>21.32</v>
      </c>
      <c r="Y5" s="16" t="s">
        <v>16</v>
      </c>
      <c r="Z5" s="10">
        <v>454.33</v>
      </c>
      <c r="AA5" s="10">
        <v>409</v>
      </c>
      <c r="AB5" s="10">
        <v>404.17</v>
      </c>
      <c r="AC5" s="10">
        <v>405.58</v>
      </c>
      <c r="AE5" s="16" t="s">
        <v>19</v>
      </c>
      <c r="AF5" s="10">
        <v>422.33</v>
      </c>
      <c r="AG5" s="10">
        <v>405.67</v>
      </c>
      <c r="AH5" s="10">
        <v>497.83</v>
      </c>
      <c r="AI5" s="10">
        <v>459.75</v>
      </c>
    </row>
    <row r="6" spans="1:35" ht="15.6" x14ac:dyDescent="0.3">
      <c r="A6" s="16" t="s">
        <v>17</v>
      </c>
      <c r="B6" s="10">
        <v>80.430000000000007</v>
      </c>
      <c r="C6" s="10">
        <v>79.12</v>
      </c>
      <c r="D6" s="10">
        <v>77.52</v>
      </c>
      <c r="E6" s="10">
        <v>75.2</v>
      </c>
      <c r="G6" s="16" t="s">
        <v>23</v>
      </c>
      <c r="H6" s="10">
        <v>82.21</v>
      </c>
      <c r="I6" s="10">
        <v>82.05</v>
      </c>
      <c r="J6" s="10">
        <v>78.8</v>
      </c>
      <c r="K6" s="10">
        <v>85.6</v>
      </c>
      <c r="M6" s="16" t="s">
        <v>17</v>
      </c>
      <c r="N6" s="10">
        <v>27.57</v>
      </c>
      <c r="O6" s="10">
        <v>28.65</v>
      </c>
      <c r="P6" s="10">
        <v>27.43</v>
      </c>
      <c r="Q6" s="10">
        <v>24.19</v>
      </c>
      <c r="S6" s="16" t="s">
        <v>23</v>
      </c>
      <c r="T6" s="10">
        <v>33.06</v>
      </c>
      <c r="U6" s="10">
        <v>28.21</v>
      </c>
      <c r="V6" s="10">
        <v>31.28</v>
      </c>
      <c r="W6" s="10">
        <v>25.15</v>
      </c>
      <c r="Y6" s="16" t="s">
        <v>17</v>
      </c>
      <c r="Z6" s="10">
        <v>451</v>
      </c>
      <c r="AA6" s="10">
        <v>454.42</v>
      </c>
      <c r="AB6" s="10">
        <v>397.5</v>
      </c>
      <c r="AC6" s="10">
        <v>441.17</v>
      </c>
      <c r="AE6" s="16" t="s">
        <v>23</v>
      </c>
      <c r="AF6" s="10">
        <v>354.17</v>
      </c>
      <c r="AG6" s="10">
        <v>418.67</v>
      </c>
      <c r="AH6" s="10">
        <v>458.42</v>
      </c>
      <c r="AI6" s="10">
        <v>411</v>
      </c>
    </row>
    <row r="7" spans="1:35" ht="15.6" x14ac:dyDescent="0.3">
      <c r="A7" s="16" t="s">
        <v>18</v>
      </c>
      <c r="B7" s="10">
        <v>84.19</v>
      </c>
      <c r="C7" s="10">
        <v>81.48</v>
      </c>
      <c r="D7" s="10">
        <v>80.2</v>
      </c>
      <c r="E7" s="10">
        <v>81.33</v>
      </c>
      <c r="G7" s="16" t="s">
        <v>29</v>
      </c>
      <c r="H7" s="10">
        <v>80.73</v>
      </c>
      <c r="I7" s="10">
        <v>82.36</v>
      </c>
      <c r="J7" s="10">
        <v>80.930000000000007</v>
      </c>
      <c r="K7" s="10">
        <v>77.78</v>
      </c>
      <c r="M7" s="16" t="s">
        <v>18</v>
      </c>
      <c r="N7" s="10">
        <v>30.29</v>
      </c>
      <c r="O7" s="10">
        <v>31.92</v>
      </c>
      <c r="P7" s="10">
        <v>35.5</v>
      </c>
      <c r="Q7" s="10">
        <v>34.090000000000003</v>
      </c>
      <c r="S7" s="16" t="s">
        <v>29</v>
      </c>
      <c r="T7" s="10">
        <v>22.12</v>
      </c>
      <c r="U7" s="10">
        <v>26.7</v>
      </c>
      <c r="V7" s="10">
        <v>22.25</v>
      </c>
      <c r="W7" s="10">
        <v>20.92</v>
      </c>
      <c r="Y7" s="16" t="s">
        <v>18</v>
      </c>
      <c r="Z7" s="10">
        <v>414.17</v>
      </c>
      <c r="AA7" s="10">
        <v>336.58</v>
      </c>
      <c r="AB7" s="10">
        <v>378.33</v>
      </c>
      <c r="AC7" s="10">
        <v>446.08</v>
      </c>
      <c r="AE7" s="16" t="s">
        <v>29</v>
      </c>
      <c r="AF7" s="10">
        <v>403.17</v>
      </c>
      <c r="AG7" s="10">
        <v>409</v>
      </c>
      <c r="AH7" s="10">
        <v>398.5</v>
      </c>
      <c r="AI7" s="10">
        <v>428.5</v>
      </c>
    </row>
    <row r="8" spans="1:35" ht="15.6" x14ac:dyDescent="0.3">
      <c r="A8" s="16" t="s">
        <v>9</v>
      </c>
      <c r="B8" s="10">
        <v>77.489999999999995</v>
      </c>
      <c r="C8" s="10">
        <v>88.48</v>
      </c>
      <c r="D8" s="10">
        <v>76.62</v>
      </c>
      <c r="E8" s="10">
        <v>83.32</v>
      </c>
      <c r="G8" s="16" t="s">
        <v>31</v>
      </c>
      <c r="H8" s="10">
        <v>80.95</v>
      </c>
      <c r="I8" s="10">
        <v>76.39</v>
      </c>
      <c r="J8" s="10">
        <v>80.239999999999995</v>
      </c>
      <c r="K8" s="10">
        <v>77.239999999999995</v>
      </c>
      <c r="M8" s="16" t="s">
        <v>9</v>
      </c>
      <c r="N8" s="10">
        <v>26.05</v>
      </c>
      <c r="O8" s="10">
        <v>26.73</v>
      </c>
      <c r="P8" s="10">
        <v>24.69</v>
      </c>
      <c r="Q8" s="18">
        <v>26.28</v>
      </c>
      <c r="S8" s="16" t="s">
        <v>31</v>
      </c>
      <c r="T8" s="10">
        <v>25.78</v>
      </c>
      <c r="U8" s="10">
        <v>22.97</v>
      </c>
      <c r="V8" s="10">
        <v>26.53</v>
      </c>
      <c r="W8" s="18">
        <v>24.85</v>
      </c>
      <c r="Y8" s="16" t="s">
        <v>9</v>
      </c>
      <c r="Z8" s="10">
        <v>388</v>
      </c>
      <c r="AA8" s="10">
        <v>402.58</v>
      </c>
      <c r="AB8" s="10">
        <v>372.83</v>
      </c>
      <c r="AC8" s="10">
        <v>430.08</v>
      </c>
      <c r="AE8" s="16" t="s">
        <v>31</v>
      </c>
      <c r="AF8" s="10">
        <v>457.83</v>
      </c>
      <c r="AG8" s="10">
        <v>470.58</v>
      </c>
      <c r="AH8" s="10">
        <v>432.83</v>
      </c>
      <c r="AI8" s="10">
        <v>476.42</v>
      </c>
    </row>
    <row r="9" spans="1:35" ht="15.6" x14ac:dyDescent="0.3">
      <c r="A9" s="16" t="s">
        <v>10</v>
      </c>
      <c r="B9" s="10">
        <v>89.71</v>
      </c>
      <c r="C9" s="10">
        <v>87.1</v>
      </c>
      <c r="D9" s="10">
        <v>90.24</v>
      </c>
      <c r="E9" s="10">
        <v>91.01</v>
      </c>
      <c r="G9" s="16" t="s">
        <v>20</v>
      </c>
      <c r="H9" s="10">
        <v>74.83</v>
      </c>
      <c r="I9" s="10">
        <v>59.25</v>
      </c>
      <c r="J9" s="10">
        <v>66.040000000000006</v>
      </c>
      <c r="K9" s="10">
        <v>67.63</v>
      </c>
      <c r="M9" s="16" t="s">
        <v>10</v>
      </c>
      <c r="N9" s="10">
        <v>36</v>
      </c>
      <c r="O9" s="10">
        <v>27.04</v>
      </c>
      <c r="P9" s="10">
        <v>18.48</v>
      </c>
      <c r="Q9" s="10">
        <v>24.36</v>
      </c>
      <c r="S9" s="16" t="s">
        <v>20</v>
      </c>
      <c r="T9" s="10">
        <v>33.159999999999997</v>
      </c>
      <c r="U9" s="10">
        <v>32.82</v>
      </c>
      <c r="V9" s="10">
        <v>29.75</v>
      </c>
      <c r="W9" s="10">
        <v>32.92</v>
      </c>
      <c r="Y9" s="16" t="s">
        <v>10</v>
      </c>
      <c r="Z9" s="10">
        <v>303.5</v>
      </c>
      <c r="AA9" s="10">
        <v>366.08</v>
      </c>
      <c r="AB9" s="10">
        <v>382.08</v>
      </c>
      <c r="AC9" s="10">
        <v>481.42</v>
      </c>
      <c r="AE9" s="16" t="s">
        <v>20</v>
      </c>
      <c r="AF9" s="10">
        <v>478.5</v>
      </c>
      <c r="AG9" s="10">
        <v>449.5</v>
      </c>
      <c r="AH9" s="10">
        <v>432.42</v>
      </c>
      <c r="AI9" s="10">
        <v>468.83</v>
      </c>
    </row>
    <row r="10" spans="1:35" ht="15.6" x14ac:dyDescent="0.3">
      <c r="A10" s="16" t="s">
        <v>11</v>
      </c>
      <c r="B10" s="10">
        <v>88.94</v>
      </c>
      <c r="C10" s="10">
        <v>87.38</v>
      </c>
      <c r="D10" s="10">
        <v>87.39</v>
      </c>
      <c r="E10" s="10">
        <v>83.22</v>
      </c>
      <c r="G10" s="16" t="s">
        <v>21</v>
      </c>
      <c r="H10" s="10">
        <v>83.83</v>
      </c>
      <c r="I10" s="10">
        <v>87.86</v>
      </c>
      <c r="J10" s="10">
        <v>86.68</v>
      </c>
      <c r="K10" s="10">
        <v>87.36</v>
      </c>
      <c r="M10" s="16" t="s">
        <v>11</v>
      </c>
      <c r="N10" s="10">
        <v>22.27</v>
      </c>
      <c r="O10" s="10">
        <v>28.98</v>
      </c>
      <c r="P10" s="10">
        <v>22.16</v>
      </c>
      <c r="Q10" s="10">
        <v>24.99</v>
      </c>
      <c r="S10" s="16" t="s">
        <v>21</v>
      </c>
      <c r="T10" s="10">
        <v>27.93</v>
      </c>
      <c r="U10" s="10">
        <v>23.33</v>
      </c>
      <c r="V10" s="10">
        <v>23.24</v>
      </c>
      <c r="W10" s="10">
        <v>19.38</v>
      </c>
      <c r="Y10" s="16" t="s">
        <v>11</v>
      </c>
      <c r="Z10" s="10">
        <v>456</v>
      </c>
      <c r="AA10" s="10">
        <v>477.67</v>
      </c>
      <c r="AB10" s="10">
        <v>441.92</v>
      </c>
      <c r="AC10" s="10">
        <v>438.5</v>
      </c>
      <c r="AE10" s="16" t="s">
        <v>21</v>
      </c>
      <c r="AF10" s="10">
        <v>333.17</v>
      </c>
      <c r="AG10" s="10">
        <v>450.42</v>
      </c>
      <c r="AH10" s="10">
        <v>407.5</v>
      </c>
      <c r="AI10" s="10">
        <v>407.5</v>
      </c>
    </row>
    <row r="11" spans="1:35" ht="15.6" x14ac:dyDescent="0.3">
      <c r="A11" s="16" t="s">
        <v>12</v>
      </c>
      <c r="B11" s="10">
        <v>91.31</v>
      </c>
      <c r="C11" s="10">
        <v>90.43</v>
      </c>
      <c r="D11" s="10">
        <v>91.43</v>
      </c>
      <c r="E11" s="10">
        <v>91.84</v>
      </c>
      <c r="G11" s="16" t="s">
        <v>32</v>
      </c>
      <c r="H11" s="10">
        <v>91.26</v>
      </c>
      <c r="I11" s="10">
        <v>91.99</v>
      </c>
      <c r="J11" s="10">
        <v>89.77</v>
      </c>
      <c r="K11" s="10">
        <v>91.24</v>
      </c>
      <c r="M11" s="16" t="s">
        <v>12</v>
      </c>
      <c r="N11" s="18">
        <v>20.68</v>
      </c>
      <c r="O11" s="10">
        <v>22.85</v>
      </c>
      <c r="P11" s="10">
        <v>17.690000000000001</v>
      </c>
      <c r="Q11" s="10">
        <v>23.37</v>
      </c>
      <c r="S11" s="16" t="s">
        <v>32</v>
      </c>
      <c r="T11" s="10">
        <v>21</v>
      </c>
      <c r="U11" s="10">
        <v>21.14</v>
      </c>
      <c r="V11" s="10">
        <v>19.850000000000001</v>
      </c>
      <c r="W11" s="10">
        <v>20.88</v>
      </c>
      <c r="Y11" s="16" t="s">
        <v>12</v>
      </c>
      <c r="Z11" s="10">
        <v>393.5</v>
      </c>
      <c r="AA11" s="10">
        <v>495.25</v>
      </c>
      <c r="AB11" s="10">
        <v>488.5</v>
      </c>
      <c r="AC11" s="10">
        <v>440.17</v>
      </c>
      <c r="AE11" s="16" t="s">
        <v>32</v>
      </c>
      <c r="AF11" s="10">
        <v>397.5</v>
      </c>
      <c r="AG11" s="10">
        <v>444.5</v>
      </c>
      <c r="AH11" s="10">
        <v>415.58</v>
      </c>
      <c r="AI11" s="10">
        <v>392.92</v>
      </c>
    </row>
    <row r="12" spans="1:35" ht="15.6" x14ac:dyDescent="0.3">
      <c r="A12" s="16" t="s">
        <v>13</v>
      </c>
      <c r="B12" s="10">
        <v>87.67</v>
      </c>
      <c r="C12" s="10">
        <v>88.58</v>
      </c>
      <c r="D12" s="10">
        <v>90.15</v>
      </c>
      <c r="E12" s="10">
        <v>89.05</v>
      </c>
      <c r="G12" s="16" t="s">
        <v>22</v>
      </c>
      <c r="H12" s="10">
        <v>88.95</v>
      </c>
      <c r="I12" s="10">
        <v>86.99</v>
      </c>
      <c r="J12" s="10">
        <v>87.45</v>
      </c>
      <c r="K12" s="10">
        <v>89.77</v>
      </c>
      <c r="M12" s="16" t="s">
        <v>13</v>
      </c>
      <c r="N12" s="10">
        <v>26.36</v>
      </c>
      <c r="O12" s="10">
        <v>28.58</v>
      </c>
      <c r="P12" s="10">
        <v>26.6</v>
      </c>
      <c r="Q12" s="10">
        <v>20.43</v>
      </c>
      <c r="S12" s="16" t="s">
        <v>22</v>
      </c>
      <c r="T12" s="10">
        <v>28.48</v>
      </c>
      <c r="U12" s="10">
        <v>24.65</v>
      </c>
      <c r="V12" s="10">
        <v>22.78</v>
      </c>
      <c r="W12" s="10">
        <v>19.690000000000001</v>
      </c>
      <c r="Y12" s="16" t="s">
        <v>13</v>
      </c>
      <c r="Z12" s="10">
        <v>375.67</v>
      </c>
      <c r="AA12" s="10">
        <v>444.08</v>
      </c>
      <c r="AB12" s="10">
        <v>450.42</v>
      </c>
      <c r="AC12" s="10">
        <v>449.42</v>
      </c>
      <c r="AE12" s="16" t="s">
        <v>22</v>
      </c>
      <c r="AF12" s="10">
        <v>428.33</v>
      </c>
      <c r="AG12" s="10">
        <v>447.67</v>
      </c>
      <c r="AH12" s="10">
        <v>391.5</v>
      </c>
      <c r="AI12" s="10">
        <v>429.5</v>
      </c>
    </row>
    <row r="13" spans="1:35" ht="15.6" x14ac:dyDescent="0.3">
      <c r="A13" s="16" t="s">
        <v>4</v>
      </c>
      <c r="B13" s="10">
        <v>87.76</v>
      </c>
      <c r="C13" s="10">
        <v>82.31</v>
      </c>
      <c r="D13" s="10">
        <v>82.2</v>
      </c>
      <c r="E13" s="10">
        <v>82.78</v>
      </c>
      <c r="G13" s="16" t="s">
        <v>24</v>
      </c>
      <c r="H13" s="10">
        <v>81.61</v>
      </c>
      <c r="I13" s="10">
        <v>81.13</v>
      </c>
      <c r="J13" s="10">
        <v>81.430000000000007</v>
      </c>
      <c r="K13" s="10">
        <v>82.78</v>
      </c>
      <c r="M13" s="16" t="s">
        <v>4</v>
      </c>
      <c r="N13" s="10">
        <v>28.83</v>
      </c>
      <c r="O13" s="10">
        <v>21.05</v>
      </c>
      <c r="P13" s="10">
        <v>26.23</v>
      </c>
      <c r="Q13" s="10">
        <v>30.37</v>
      </c>
      <c r="S13" s="16" t="s">
        <v>24</v>
      </c>
      <c r="T13" s="10">
        <v>26.12</v>
      </c>
      <c r="U13" s="10">
        <v>30.93</v>
      </c>
      <c r="V13" s="10">
        <v>28.37</v>
      </c>
      <c r="W13" s="10">
        <v>25.07</v>
      </c>
      <c r="Y13" s="16" t="s">
        <v>4</v>
      </c>
      <c r="Z13" s="10">
        <v>483.17</v>
      </c>
      <c r="AA13" s="10">
        <v>473.25</v>
      </c>
      <c r="AB13" s="10">
        <v>423.58</v>
      </c>
      <c r="AC13" s="10">
        <v>374.08</v>
      </c>
      <c r="AE13" s="16" t="s">
        <v>24</v>
      </c>
      <c r="AF13" s="10">
        <v>386.17</v>
      </c>
      <c r="AG13" s="10">
        <v>285.25</v>
      </c>
      <c r="AH13" s="10">
        <v>337.58</v>
      </c>
      <c r="AI13" s="10">
        <v>353.92</v>
      </c>
    </row>
    <row r="14" spans="1:35" ht="15.6" x14ac:dyDescent="0.3">
      <c r="A14" s="16" t="s">
        <v>5</v>
      </c>
      <c r="B14" s="10">
        <v>78.78</v>
      </c>
      <c r="C14" s="10">
        <v>74.23</v>
      </c>
      <c r="D14" s="10">
        <v>68.98</v>
      </c>
      <c r="E14" s="10">
        <v>63.76</v>
      </c>
      <c r="G14" s="16" t="s">
        <v>25</v>
      </c>
      <c r="H14" s="10">
        <v>81.09</v>
      </c>
      <c r="I14" s="10">
        <v>81.55</v>
      </c>
      <c r="J14" s="10">
        <v>84.03</v>
      </c>
      <c r="K14" s="10">
        <v>85.87</v>
      </c>
      <c r="M14" s="16" t="s">
        <v>5</v>
      </c>
      <c r="N14" s="10">
        <v>36.229999999999997</v>
      </c>
      <c r="O14" s="10">
        <v>36.54</v>
      </c>
      <c r="P14" s="10">
        <v>36.18</v>
      </c>
      <c r="Q14" s="10">
        <v>35.11</v>
      </c>
      <c r="S14" s="16" t="s">
        <v>25</v>
      </c>
      <c r="T14" s="10">
        <v>33.35</v>
      </c>
      <c r="U14" s="10">
        <v>32.479999999999997</v>
      </c>
      <c r="V14" s="10">
        <v>30.84</v>
      </c>
      <c r="W14" s="10">
        <v>26.66</v>
      </c>
      <c r="Y14" s="16" t="s">
        <v>5</v>
      </c>
      <c r="Z14" s="10">
        <v>402.33</v>
      </c>
      <c r="AA14" s="10">
        <v>313.08</v>
      </c>
      <c r="AB14" s="10">
        <v>425.42</v>
      </c>
      <c r="AC14" s="10">
        <v>336</v>
      </c>
      <c r="AE14" s="16" t="s">
        <v>25</v>
      </c>
      <c r="AF14" s="10">
        <v>448</v>
      </c>
      <c r="AG14" s="10">
        <v>416.42</v>
      </c>
      <c r="AH14" s="10">
        <v>431.42</v>
      </c>
      <c r="AI14" s="10">
        <v>389.08</v>
      </c>
    </row>
    <row r="15" spans="1:35" ht="15.6" x14ac:dyDescent="0.3">
      <c r="A15" s="16" t="s">
        <v>6</v>
      </c>
      <c r="B15" s="10">
        <v>76.05</v>
      </c>
      <c r="C15" s="10">
        <v>69.16</v>
      </c>
      <c r="D15" s="10">
        <v>79.8</v>
      </c>
      <c r="E15" s="10">
        <v>72.349999999999994</v>
      </c>
      <c r="G15" s="16" t="s">
        <v>26</v>
      </c>
      <c r="H15" s="10">
        <v>85.69</v>
      </c>
      <c r="I15" s="10">
        <v>84.33</v>
      </c>
      <c r="J15" s="10">
        <v>86.94</v>
      </c>
      <c r="K15" s="10">
        <v>89.19</v>
      </c>
      <c r="M15" s="16" t="s">
        <v>6</v>
      </c>
      <c r="N15" s="10">
        <v>37.619999999999997</v>
      </c>
      <c r="O15" s="10">
        <v>37.33</v>
      </c>
      <c r="P15" s="10">
        <v>29.64</v>
      </c>
      <c r="Q15" s="10">
        <v>30.98</v>
      </c>
      <c r="S15" s="16" t="s">
        <v>26</v>
      </c>
      <c r="T15" s="10">
        <v>29.45</v>
      </c>
      <c r="U15" s="10">
        <v>22.9</v>
      </c>
      <c r="V15" s="10">
        <v>23.76</v>
      </c>
      <c r="W15" s="10">
        <v>16.71</v>
      </c>
      <c r="Y15" s="16" t="s">
        <v>6</v>
      </c>
      <c r="Z15" s="10">
        <v>404.67</v>
      </c>
      <c r="AA15" s="10">
        <v>417.92</v>
      </c>
      <c r="AB15" s="10">
        <v>491.92</v>
      </c>
      <c r="AC15" s="10">
        <v>409.17</v>
      </c>
      <c r="AE15" s="16" t="s">
        <v>26</v>
      </c>
      <c r="AF15" s="10">
        <v>380.67</v>
      </c>
      <c r="AG15" s="10">
        <v>399.75</v>
      </c>
      <c r="AH15" s="10">
        <v>422.08</v>
      </c>
      <c r="AI15" s="10">
        <v>431.92</v>
      </c>
    </row>
    <row r="16" spans="1:35" ht="15.6" x14ac:dyDescent="0.3">
      <c r="A16" s="16" t="s">
        <v>7</v>
      </c>
      <c r="B16" s="10">
        <v>82.62</v>
      </c>
      <c r="C16" s="10">
        <v>84.72</v>
      </c>
      <c r="D16" s="10">
        <v>89.27</v>
      </c>
      <c r="E16" s="10">
        <v>85.22</v>
      </c>
      <c r="G16" s="16" t="s">
        <v>27</v>
      </c>
      <c r="H16" s="10">
        <v>83.19</v>
      </c>
      <c r="I16" s="10">
        <v>85.88</v>
      </c>
      <c r="J16" s="10">
        <v>83.81</v>
      </c>
      <c r="K16" s="10">
        <v>84.16</v>
      </c>
      <c r="M16" s="16" t="s">
        <v>7</v>
      </c>
      <c r="N16" s="10">
        <v>18.54</v>
      </c>
      <c r="O16" s="10">
        <v>23.16</v>
      </c>
      <c r="P16" s="10">
        <v>23.54</v>
      </c>
      <c r="Q16" s="10">
        <v>23.06</v>
      </c>
      <c r="S16" s="16" t="s">
        <v>27</v>
      </c>
      <c r="T16" s="10">
        <v>33.17</v>
      </c>
      <c r="U16" s="10">
        <v>33.64</v>
      </c>
      <c r="V16" s="10">
        <v>24.48</v>
      </c>
      <c r="W16" s="10">
        <v>21.63</v>
      </c>
      <c r="Y16" s="16" t="s">
        <v>7</v>
      </c>
      <c r="Z16" s="10">
        <v>423.17</v>
      </c>
      <c r="AA16" s="10">
        <v>391.67</v>
      </c>
      <c r="AB16" s="10">
        <v>381.75</v>
      </c>
      <c r="AC16" s="10">
        <v>374.92</v>
      </c>
      <c r="AE16" s="16" t="s">
        <v>27</v>
      </c>
      <c r="AF16" s="10">
        <v>390</v>
      </c>
      <c r="AG16" s="10">
        <v>412.5</v>
      </c>
      <c r="AH16" s="10">
        <v>446</v>
      </c>
      <c r="AI16" s="10">
        <v>431.25</v>
      </c>
    </row>
    <row r="17" spans="1:35" ht="15.6" x14ac:dyDescent="0.3">
      <c r="A17" s="16" t="s">
        <v>8</v>
      </c>
      <c r="B17" s="10">
        <v>82.91</v>
      </c>
      <c r="C17" s="10">
        <v>85.09</v>
      </c>
      <c r="D17" s="10">
        <v>79.260000000000005</v>
      </c>
      <c r="E17" s="10">
        <v>84.85</v>
      </c>
      <c r="G17" s="9"/>
      <c r="H17" s="9"/>
      <c r="I17" s="9"/>
      <c r="J17" s="9"/>
      <c r="K17" s="9"/>
      <c r="M17" s="16" t="s">
        <v>8</v>
      </c>
      <c r="N17" s="10">
        <v>24.72</v>
      </c>
      <c r="O17" s="10">
        <v>19.73</v>
      </c>
      <c r="P17" s="10">
        <v>28.98</v>
      </c>
      <c r="Q17" s="10">
        <v>18.920000000000002</v>
      </c>
      <c r="S17" s="21"/>
      <c r="T17" s="9"/>
      <c r="U17" s="9"/>
      <c r="V17" s="9"/>
      <c r="W17" s="9"/>
      <c r="Y17" s="16" t="s">
        <v>8</v>
      </c>
      <c r="Z17" s="10">
        <v>441.67</v>
      </c>
      <c r="AA17" s="10">
        <v>394</v>
      </c>
      <c r="AB17" s="10">
        <v>405.17</v>
      </c>
      <c r="AC17" s="10">
        <v>496.83</v>
      </c>
      <c r="AE17" s="21"/>
      <c r="AF17" s="9"/>
      <c r="AG17" s="9"/>
      <c r="AH17" s="9"/>
      <c r="AI17" s="9"/>
    </row>
    <row r="18" spans="1:35" x14ac:dyDescent="0.3">
      <c r="A18" s="9"/>
      <c r="B18" s="9"/>
      <c r="C18" s="9"/>
      <c r="D18" s="9"/>
      <c r="E18" s="9"/>
      <c r="G18" s="9"/>
      <c r="H18" s="9"/>
      <c r="I18" s="9"/>
      <c r="J18" s="9"/>
      <c r="K18" s="9"/>
      <c r="M18" s="21"/>
      <c r="N18" s="9"/>
      <c r="O18" s="9"/>
      <c r="P18" s="9"/>
      <c r="Q18" s="9"/>
      <c r="S18" s="9"/>
      <c r="T18" s="9"/>
      <c r="U18" s="9"/>
      <c r="V18" s="9"/>
      <c r="W18" s="9"/>
      <c r="Y18" s="9"/>
      <c r="Z18" s="9"/>
      <c r="AA18" s="9"/>
      <c r="AB18" s="9"/>
      <c r="AC18" s="9"/>
      <c r="AE18" s="21"/>
      <c r="AF18" s="9"/>
      <c r="AG18" s="9"/>
      <c r="AH18" s="9"/>
      <c r="AI18" s="9"/>
    </row>
    <row r="19" spans="1:35" x14ac:dyDescent="0.3">
      <c r="A19" s="5" t="s">
        <v>1</v>
      </c>
      <c r="B19" s="6">
        <f>AVERAGE(B3:B17)</f>
        <v>83.310666666666677</v>
      </c>
      <c r="C19" s="6">
        <f t="shared" ref="C19:E19" si="0">AVERAGE(C3:C17)</f>
        <v>82.944000000000003</v>
      </c>
      <c r="D19" s="6">
        <f t="shared" si="0"/>
        <v>82.453999999999994</v>
      </c>
      <c r="E19" s="6">
        <f t="shared" si="0"/>
        <v>82.195333333333323</v>
      </c>
      <c r="G19" s="5" t="s">
        <v>1</v>
      </c>
      <c r="H19" s="6">
        <f>AVERAGE(H3:H16)</f>
        <v>83.139285714285734</v>
      </c>
      <c r="I19" s="6">
        <f>AVERAGE(I3:I16)</f>
        <v>82.088571428571413</v>
      </c>
      <c r="J19" s="6">
        <f>AVERAGE(J3:J16)</f>
        <v>82.564285714285717</v>
      </c>
      <c r="K19" s="6">
        <f>AVERAGE(K3:K16)</f>
        <v>83.554999999999993</v>
      </c>
      <c r="M19" s="5" t="s">
        <v>1</v>
      </c>
      <c r="N19" s="6">
        <f>AVERAGE(N3:N17)</f>
        <v>27.521333333333338</v>
      </c>
      <c r="O19" s="6">
        <f t="shared" ref="O19:Q19" si="1">AVERAGE(O3:O17)</f>
        <v>27.343333333333337</v>
      </c>
      <c r="P19" s="6">
        <f t="shared" si="1"/>
        <v>26.512</v>
      </c>
      <c r="Q19" s="6">
        <f t="shared" si="1"/>
        <v>26.453333333333337</v>
      </c>
      <c r="S19" s="5" t="s">
        <v>1</v>
      </c>
      <c r="T19" s="6">
        <f>AVERAGE(T3:T16)</f>
        <v>28.691428571428577</v>
      </c>
      <c r="U19" s="6">
        <f>AVERAGE(U3:U16)</f>
        <v>26.571428571428566</v>
      </c>
      <c r="V19" s="6">
        <f>AVERAGE(V3:V16)</f>
        <v>25.21</v>
      </c>
      <c r="W19" s="6">
        <f>AVERAGE(W3:W16)</f>
        <v>22.890714285714285</v>
      </c>
      <c r="Y19" s="5" t="s">
        <v>1</v>
      </c>
      <c r="Z19" s="7">
        <f>AVERAGE(Z3:Z17)</f>
        <v>412.35666666666668</v>
      </c>
      <c r="AA19" s="7">
        <f>AVERAGE(AA3:AA17)</f>
        <v>414.94400000000002</v>
      </c>
      <c r="AB19" s="7">
        <f t="shared" ref="AB19:AC19" si="2">AVERAGE(AB3:AB17)</f>
        <v>417.13400000000001</v>
      </c>
      <c r="AC19" s="7">
        <f t="shared" si="2"/>
        <v>424.02800000000002</v>
      </c>
      <c r="AE19" s="5" t="s">
        <v>1</v>
      </c>
      <c r="AF19" s="6">
        <f>AVERAGE(AF3:AF16)</f>
        <v>410.22714285714289</v>
      </c>
      <c r="AG19" s="6">
        <f>AVERAGE(AG3:AG16)</f>
        <v>416.17357142857145</v>
      </c>
      <c r="AH19" s="6">
        <f>AVERAGE(AH3:AH16)</f>
        <v>423.84499999999997</v>
      </c>
      <c r="AI19" s="6">
        <f>AVERAGE(AI3:AI16)</f>
        <v>426.25642857142856</v>
      </c>
    </row>
    <row r="20" spans="1:35" x14ac:dyDescent="0.3">
      <c r="A20" s="5" t="s">
        <v>2</v>
      </c>
      <c r="B20" s="6">
        <f>_xlfn.STDEV.S(B3:B17)</f>
        <v>5.9237349061293445</v>
      </c>
      <c r="C20" s="6">
        <f t="shared" ref="C20:E20" si="3">_xlfn.STDEV.S(C3:C17)</f>
        <v>6.069337219640567</v>
      </c>
      <c r="D20" s="6">
        <f t="shared" si="3"/>
        <v>6.6552383235205879</v>
      </c>
      <c r="E20" s="6">
        <f t="shared" si="3"/>
        <v>7.4368079429922345</v>
      </c>
      <c r="G20" s="5" t="s">
        <v>2</v>
      </c>
      <c r="H20" s="6">
        <f>_xlfn.STDEV.S(H3:H16)</f>
        <v>3.9500018778685204</v>
      </c>
      <c r="I20" s="6">
        <f>_xlfn.STDEV.S(I3:I16)</f>
        <v>7.6044873970195095</v>
      </c>
      <c r="J20" s="6">
        <f>_xlfn.STDEV.S(J3:J16)</f>
        <v>5.8803057407243369</v>
      </c>
      <c r="K20" s="6">
        <f>_xlfn.STDEV.S(K3:K16)</f>
        <v>6.2296027160646448</v>
      </c>
      <c r="M20" s="5" t="s">
        <v>2</v>
      </c>
      <c r="N20" s="6">
        <f>_xlfn.STDEV.S(N3:N17)</f>
        <v>5.5753870674941259</v>
      </c>
      <c r="O20" s="6">
        <f t="shared" ref="O20:Q20" si="4">_xlfn.STDEV.S(O3:O17)</f>
        <v>5.1614860355558401</v>
      </c>
      <c r="P20" s="6">
        <f t="shared" si="4"/>
        <v>5.5091251574092883</v>
      </c>
      <c r="Q20" s="6">
        <f t="shared" si="4"/>
        <v>4.7032916538263079</v>
      </c>
      <c r="S20" s="5" t="s">
        <v>2</v>
      </c>
      <c r="T20" s="6">
        <f>_xlfn.STDEV.S(T3:T16)</f>
        <v>4.0326320039300008</v>
      </c>
      <c r="U20" s="6">
        <f>_xlfn.STDEV.S(U3:U16)</f>
        <v>4.6157253903499296</v>
      </c>
      <c r="V20" s="6">
        <f>_xlfn.STDEV.S(V3:V16)</f>
        <v>3.9170239880650457</v>
      </c>
      <c r="W20" s="6">
        <f>_xlfn.STDEV.S(W3:W16)</f>
        <v>4.0844347396986542</v>
      </c>
      <c r="Y20" s="5" t="s">
        <v>2</v>
      </c>
      <c r="Z20" s="7">
        <f>_xlfn.STDEV.S(Z3:Z17)</f>
        <v>45.355336694447089</v>
      </c>
      <c r="AA20" s="7">
        <f t="shared" ref="AA20:AC20" si="5">_xlfn.STDEV.S(AA3:AA17)</f>
        <v>51.034293064285912</v>
      </c>
      <c r="AB20" s="7">
        <f t="shared" si="5"/>
        <v>37.459166873505652</v>
      </c>
      <c r="AC20" s="7">
        <f t="shared" si="5"/>
        <v>41.61751128688843</v>
      </c>
      <c r="AE20" s="5" t="s">
        <v>2</v>
      </c>
      <c r="AF20" s="6">
        <f>_xlfn.STDEV.S(AF3:AF16)</f>
        <v>40.498610313968022</v>
      </c>
      <c r="AG20" s="6">
        <f>_xlfn.STDEV.S(AG3:AG16)</f>
        <v>43.958279277434791</v>
      </c>
      <c r="AH20" s="6">
        <f>_xlfn.STDEV.S(AH3:AH16)</f>
        <v>36.12193958290127</v>
      </c>
      <c r="AI20" s="6">
        <f>_xlfn.STDEV.S(AI3:AI16)</f>
        <v>33.316868124845584</v>
      </c>
    </row>
    <row r="24" spans="1:35" x14ac:dyDescent="0.3">
      <c r="A24" s="9"/>
      <c r="B24" s="39" t="s">
        <v>46</v>
      </c>
      <c r="C24" s="39"/>
      <c r="D24" s="39"/>
      <c r="E24" s="39"/>
      <c r="G24" s="9"/>
      <c r="H24" s="39" t="s">
        <v>47</v>
      </c>
      <c r="I24" s="39"/>
      <c r="J24" s="39"/>
      <c r="K24" s="39"/>
      <c r="M24" s="9"/>
      <c r="N24" s="39" t="s">
        <v>52</v>
      </c>
      <c r="O24" s="39"/>
      <c r="P24" s="39"/>
      <c r="Q24" s="39"/>
      <c r="S24" s="9"/>
      <c r="T24" s="39" t="s">
        <v>53</v>
      </c>
      <c r="U24" s="39"/>
      <c r="V24" s="39"/>
      <c r="W24" s="39"/>
      <c r="Y24" s="21"/>
      <c r="Z24" s="39" t="s">
        <v>56</v>
      </c>
      <c r="AA24" s="39"/>
      <c r="AB24" s="39"/>
      <c r="AC24" s="39"/>
      <c r="AE24" s="21"/>
      <c r="AF24" s="39" t="s">
        <v>57</v>
      </c>
      <c r="AG24" s="39"/>
      <c r="AH24" s="39"/>
      <c r="AI24" s="39"/>
    </row>
    <row r="25" spans="1:35" ht="15.6" x14ac:dyDescent="0.3">
      <c r="A25" s="15"/>
      <c r="B25" s="17" t="s">
        <v>48</v>
      </c>
      <c r="C25" s="17" t="s">
        <v>49</v>
      </c>
      <c r="D25" s="17" t="s">
        <v>50</v>
      </c>
      <c r="E25" s="17" t="s">
        <v>51</v>
      </c>
      <c r="G25" s="9"/>
      <c r="H25" s="17" t="s">
        <v>48</v>
      </c>
      <c r="I25" s="17" t="s">
        <v>49</v>
      </c>
      <c r="J25" s="17" t="s">
        <v>50</v>
      </c>
      <c r="K25" s="17" t="s">
        <v>51</v>
      </c>
      <c r="M25" s="17"/>
      <c r="N25" s="17" t="s">
        <v>48</v>
      </c>
      <c r="O25" s="17" t="s">
        <v>49</v>
      </c>
      <c r="P25" s="17" t="s">
        <v>50</v>
      </c>
      <c r="Q25" s="17" t="s">
        <v>51</v>
      </c>
      <c r="S25" s="21"/>
      <c r="T25" s="17" t="s">
        <v>48</v>
      </c>
      <c r="U25" s="17" t="s">
        <v>49</v>
      </c>
      <c r="V25" s="17" t="s">
        <v>50</v>
      </c>
      <c r="W25" s="17" t="s">
        <v>51</v>
      </c>
      <c r="Y25" s="17"/>
      <c r="Z25" s="17" t="s">
        <v>48</v>
      </c>
      <c r="AA25" s="17" t="s">
        <v>49</v>
      </c>
      <c r="AB25" s="17" t="s">
        <v>50</v>
      </c>
      <c r="AC25" s="17" t="s">
        <v>51</v>
      </c>
      <c r="AE25" s="21"/>
      <c r="AF25" s="17" t="s">
        <v>48</v>
      </c>
      <c r="AG25" s="17" t="s">
        <v>49</v>
      </c>
      <c r="AH25" s="17" t="s">
        <v>50</v>
      </c>
      <c r="AI25" s="17" t="s">
        <v>51</v>
      </c>
    </row>
    <row r="26" spans="1:35" ht="15.6" x14ac:dyDescent="0.3">
      <c r="A26" s="16" t="s">
        <v>14</v>
      </c>
      <c r="B26" s="10">
        <v>27020</v>
      </c>
      <c r="C26" s="10">
        <v>29410</v>
      </c>
      <c r="D26" s="10">
        <v>28640</v>
      </c>
      <c r="E26" s="10">
        <v>29410</v>
      </c>
      <c r="G26" s="16" t="s">
        <v>28</v>
      </c>
      <c r="H26" s="10">
        <v>30820</v>
      </c>
      <c r="I26" s="10">
        <v>29650</v>
      </c>
      <c r="J26" s="10">
        <v>29860</v>
      </c>
      <c r="K26" s="10">
        <v>30050</v>
      </c>
      <c r="M26" s="16" t="s">
        <v>14</v>
      </c>
      <c r="N26" s="10">
        <v>20750</v>
      </c>
      <c r="O26" s="10">
        <v>24210</v>
      </c>
      <c r="P26" s="10">
        <v>21905</v>
      </c>
      <c r="Q26" s="10">
        <v>23500</v>
      </c>
      <c r="S26" s="16" t="s">
        <v>28</v>
      </c>
      <c r="T26" s="10">
        <v>25690</v>
      </c>
      <c r="U26" s="10">
        <v>23965</v>
      </c>
      <c r="V26" s="10">
        <v>24605</v>
      </c>
      <c r="W26" s="10">
        <v>25355</v>
      </c>
      <c r="Y26" s="16" t="s">
        <v>14</v>
      </c>
      <c r="Z26" s="10">
        <v>2970</v>
      </c>
      <c r="AA26" s="10">
        <v>1015</v>
      </c>
      <c r="AB26" s="10">
        <v>2110</v>
      </c>
      <c r="AC26" s="10">
        <v>1480</v>
      </c>
      <c r="AE26" s="16" t="s">
        <v>28</v>
      </c>
      <c r="AF26" s="10">
        <v>1350</v>
      </c>
      <c r="AG26" s="10">
        <v>1980</v>
      </c>
      <c r="AH26" s="10">
        <v>1555</v>
      </c>
      <c r="AI26" s="10">
        <v>605</v>
      </c>
    </row>
    <row r="27" spans="1:35" ht="15.6" x14ac:dyDescent="0.3">
      <c r="A27" s="16" t="s">
        <v>15</v>
      </c>
      <c r="B27" s="10">
        <v>37360</v>
      </c>
      <c r="C27" s="10">
        <v>29560</v>
      </c>
      <c r="D27" s="10">
        <v>28430</v>
      </c>
      <c r="E27" s="10">
        <v>29100</v>
      </c>
      <c r="G27" s="16" t="s">
        <v>30</v>
      </c>
      <c r="H27" s="10">
        <v>29280</v>
      </c>
      <c r="I27" s="10">
        <v>25770</v>
      </c>
      <c r="J27" s="10">
        <v>28550</v>
      </c>
      <c r="K27" s="10">
        <v>28320</v>
      </c>
      <c r="M27" s="16" t="s">
        <v>15</v>
      </c>
      <c r="N27" s="10">
        <v>27600</v>
      </c>
      <c r="O27" s="10">
        <v>22465</v>
      </c>
      <c r="P27" s="10">
        <v>22370</v>
      </c>
      <c r="Q27" s="10">
        <v>23205</v>
      </c>
      <c r="S27" s="16" t="s">
        <v>30</v>
      </c>
      <c r="T27" s="10">
        <v>24990</v>
      </c>
      <c r="U27" s="10">
        <v>22310</v>
      </c>
      <c r="V27" s="10">
        <v>24990</v>
      </c>
      <c r="W27" s="10">
        <v>24540</v>
      </c>
      <c r="Y27" s="16" t="s">
        <v>15</v>
      </c>
      <c r="Z27" s="10">
        <v>830</v>
      </c>
      <c r="AA27" s="10">
        <v>575</v>
      </c>
      <c r="AB27" s="10">
        <v>460</v>
      </c>
      <c r="AC27" s="10">
        <v>60</v>
      </c>
      <c r="AE27" s="16" t="s">
        <v>30</v>
      </c>
      <c r="AF27" s="10">
        <v>200</v>
      </c>
      <c r="AG27" s="10">
        <v>255</v>
      </c>
      <c r="AH27" s="10">
        <v>450</v>
      </c>
      <c r="AI27" s="10">
        <v>135</v>
      </c>
    </row>
    <row r="28" spans="1:35" ht="15.6" x14ac:dyDescent="0.3">
      <c r="A28" s="16" t="s">
        <v>16</v>
      </c>
      <c r="B28" s="10">
        <v>29560</v>
      </c>
      <c r="C28" s="10">
        <v>27420</v>
      </c>
      <c r="D28" s="10">
        <v>26870</v>
      </c>
      <c r="E28" s="10">
        <v>27970</v>
      </c>
      <c r="G28" s="16" t="s">
        <v>19</v>
      </c>
      <c r="H28" s="10">
        <v>31320</v>
      </c>
      <c r="I28" s="10">
        <v>29950</v>
      </c>
      <c r="J28" s="10">
        <v>34880</v>
      </c>
      <c r="K28" s="10">
        <v>27290</v>
      </c>
      <c r="M28" s="16" t="s">
        <v>16</v>
      </c>
      <c r="N28" s="10">
        <v>27010</v>
      </c>
      <c r="O28" s="10">
        <v>24035</v>
      </c>
      <c r="P28" s="10">
        <v>23885</v>
      </c>
      <c r="Q28" s="10">
        <v>24905</v>
      </c>
      <c r="S28" s="16" t="s">
        <v>19</v>
      </c>
      <c r="T28" s="10">
        <v>25510</v>
      </c>
      <c r="U28" s="10">
        <v>24560</v>
      </c>
      <c r="V28" s="10">
        <v>27825</v>
      </c>
      <c r="W28" s="10">
        <v>21775</v>
      </c>
      <c r="Y28" s="16" t="s">
        <v>16</v>
      </c>
      <c r="Z28" s="10">
        <v>210</v>
      </c>
      <c r="AA28" s="10">
        <v>540</v>
      </c>
      <c r="AB28" s="10">
        <v>575</v>
      </c>
      <c r="AC28" s="10">
        <v>115</v>
      </c>
      <c r="AE28" s="16" t="s">
        <v>19</v>
      </c>
      <c r="AF28" s="10">
        <v>1340</v>
      </c>
      <c r="AG28" s="10">
        <v>685</v>
      </c>
      <c r="AH28" s="10">
        <v>2120</v>
      </c>
      <c r="AI28" s="10">
        <v>1455</v>
      </c>
    </row>
    <row r="29" spans="1:35" ht="15.6" x14ac:dyDescent="0.3">
      <c r="A29" s="16" t="s">
        <v>17</v>
      </c>
      <c r="B29" s="10">
        <v>26480</v>
      </c>
      <c r="C29" s="10">
        <v>29450</v>
      </c>
      <c r="D29" s="10">
        <v>28580</v>
      </c>
      <c r="E29" s="10">
        <v>29070</v>
      </c>
      <c r="G29" s="16" t="s">
        <v>23</v>
      </c>
      <c r="H29" s="10">
        <v>26700</v>
      </c>
      <c r="I29" s="10">
        <v>28710</v>
      </c>
      <c r="J29" s="10">
        <v>29420</v>
      </c>
      <c r="K29" s="10">
        <v>26860</v>
      </c>
      <c r="M29" s="16" t="s">
        <v>17</v>
      </c>
      <c r="N29" s="10">
        <v>21260</v>
      </c>
      <c r="O29" s="10">
        <v>23425</v>
      </c>
      <c r="P29" s="10">
        <v>22225</v>
      </c>
      <c r="Q29" s="10">
        <v>21825</v>
      </c>
      <c r="S29" s="16" t="s">
        <v>23</v>
      </c>
      <c r="T29" s="10">
        <v>21870</v>
      </c>
      <c r="U29" s="10">
        <v>23470</v>
      </c>
      <c r="V29" s="10">
        <v>23525</v>
      </c>
      <c r="W29" s="10">
        <v>22145</v>
      </c>
      <c r="Y29" s="16" t="s">
        <v>17</v>
      </c>
      <c r="Z29" s="10">
        <v>1050</v>
      </c>
      <c r="AA29" s="10">
        <v>755</v>
      </c>
      <c r="AB29" s="10">
        <v>640</v>
      </c>
      <c r="AC29" s="10">
        <v>1180</v>
      </c>
      <c r="AE29" s="16" t="s">
        <v>23</v>
      </c>
      <c r="AF29" s="10">
        <v>690</v>
      </c>
      <c r="AG29" s="10">
        <v>735</v>
      </c>
      <c r="AH29" s="10">
        <v>935</v>
      </c>
      <c r="AI29" s="10">
        <v>830</v>
      </c>
    </row>
    <row r="30" spans="1:35" ht="15.6" x14ac:dyDescent="0.3">
      <c r="A30" s="16" t="s">
        <v>18</v>
      </c>
      <c r="B30" s="10">
        <v>29200</v>
      </c>
      <c r="C30" s="10">
        <v>30230</v>
      </c>
      <c r="D30" s="10">
        <v>26020</v>
      </c>
      <c r="E30" s="10">
        <v>30380</v>
      </c>
      <c r="G30" s="16" t="s">
        <v>29</v>
      </c>
      <c r="H30" s="10">
        <v>31340</v>
      </c>
      <c r="I30" s="10">
        <v>30370</v>
      </c>
      <c r="J30" s="10">
        <v>28960</v>
      </c>
      <c r="K30" s="10">
        <v>29850</v>
      </c>
      <c r="M30" s="16" t="s">
        <v>18</v>
      </c>
      <c r="N30" s="10">
        <v>23600</v>
      </c>
      <c r="O30" s="10">
        <v>24635</v>
      </c>
      <c r="P30" s="10">
        <v>20725</v>
      </c>
      <c r="Q30" s="10">
        <v>24685</v>
      </c>
      <c r="S30" s="16" t="s">
        <v>29</v>
      </c>
      <c r="T30" s="10">
        <v>25420</v>
      </c>
      <c r="U30" s="10">
        <v>24950</v>
      </c>
      <c r="V30" s="10">
        <v>23425</v>
      </c>
      <c r="W30" s="10">
        <v>23295</v>
      </c>
      <c r="Y30" s="16" t="s">
        <v>18</v>
      </c>
      <c r="Z30" s="10">
        <v>1360</v>
      </c>
      <c r="AA30" s="10">
        <v>655</v>
      </c>
      <c r="AB30" s="10">
        <v>290</v>
      </c>
      <c r="AC30" s="10">
        <v>625</v>
      </c>
      <c r="AE30" s="16" t="s">
        <v>29</v>
      </c>
      <c r="AF30" s="10">
        <v>2730</v>
      </c>
      <c r="AG30" s="10">
        <v>2120</v>
      </c>
      <c r="AH30" s="10">
        <v>2750</v>
      </c>
      <c r="AI30" s="10">
        <v>3775</v>
      </c>
    </row>
    <row r="31" spans="1:35" ht="15.6" x14ac:dyDescent="0.3">
      <c r="A31" s="16" t="s">
        <v>9</v>
      </c>
      <c r="B31" s="10">
        <v>28540</v>
      </c>
      <c r="C31" s="10">
        <v>26680</v>
      </c>
      <c r="D31" s="10">
        <v>27580</v>
      </c>
      <c r="E31" s="10">
        <v>26400</v>
      </c>
      <c r="G31" s="16" t="s">
        <v>31</v>
      </c>
      <c r="H31" s="10">
        <v>29320</v>
      </c>
      <c r="I31" s="10">
        <v>29470</v>
      </c>
      <c r="J31" s="10">
        <v>29140</v>
      </c>
      <c r="K31" s="10">
        <v>31760</v>
      </c>
      <c r="M31" s="16" t="s">
        <v>9</v>
      </c>
      <c r="N31" s="10">
        <v>21980</v>
      </c>
      <c r="O31" s="10">
        <v>23610</v>
      </c>
      <c r="P31" s="10">
        <v>21070</v>
      </c>
      <c r="Q31" s="10">
        <v>21965</v>
      </c>
      <c r="S31" s="16" t="s">
        <v>31</v>
      </c>
      <c r="T31" s="10">
        <v>23680</v>
      </c>
      <c r="U31" s="10">
        <v>22425</v>
      </c>
      <c r="V31" s="10">
        <v>23450</v>
      </c>
      <c r="W31" s="10">
        <v>24595</v>
      </c>
      <c r="Y31" s="16" t="s">
        <v>9</v>
      </c>
      <c r="Z31" s="10">
        <v>1170</v>
      </c>
      <c r="AA31" s="10">
        <v>190</v>
      </c>
      <c r="AB31" s="10">
        <v>2605</v>
      </c>
      <c r="AC31" s="10">
        <v>1195</v>
      </c>
      <c r="AE31" s="16" t="s">
        <v>31</v>
      </c>
      <c r="AF31" s="10">
        <v>2110</v>
      </c>
      <c r="AG31" s="10">
        <v>2795</v>
      </c>
      <c r="AH31" s="10">
        <v>2225</v>
      </c>
      <c r="AI31" s="10">
        <v>2260</v>
      </c>
    </row>
    <row r="32" spans="1:35" ht="15.6" x14ac:dyDescent="0.3">
      <c r="A32" s="16" t="s">
        <v>10</v>
      </c>
      <c r="B32" s="10">
        <v>26220</v>
      </c>
      <c r="C32" s="10">
        <v>24840</v>
      </c>
      <c r="D32" s="10">
        <v>25120</v>
      </c>
      <c r="E32" s="10">
        <v>25870</v>
      </c>
      <c r="G32" s="16" t="s">
        <v>20</v>
      </c>
      <c r="H32" s="10">
        <v>34960</v>
      </c>
      <c r="I32" s="10">
        <v>32150</v>
      </c>
      <c r="J32" s="10">
        <v>34160</v>
      </c>
      <c r="K32" s="10">
        <v>34140</v>
      </c>
      <c r="M32" s="16" t="s">
        <v>10</v>
      </c>
      <c r="N32" s="10">
        <v>23590</v>
      </c>
      <c r="O32" s="10">
        <v>21535</v>
      </c>
      <c r="P32" s="10">
        <v>22690</v>
      </c>
      <c r="Q32" s="10">
        <v>23560</v>
      </c>
      <c r="S32" s="16" t="s">
        <v>20</v>
      </c>
      <c r="T32" s="10">
        <v>25930</v>
      </c>
      <c r="U32" s="10">
        <v>19285</v>
      </c>
      <c r="V32" s="10">
        <v>22535</v>
      </c>
      <c r="W32" s="10">
        <v>23205</v>
      </c>
      <c r="Y32" s="16" t="s">
        <v>10</v>
      </c>
      <c r="Z32" s="10">
        <v>140</v>
      </c>
      <c r="AA32" s="10">
        <v>620</v>
      </c>
      <c r="AB32" s="10">
        <v>530</v>
      </c>
      <c r="AC32" s="10">
        <v>250</v>
      </c>
      <c r="AE32" s="16" t="s">
        <v>20</v>
      </c>
      <c r="AF32" s="10">
        <v>2110</v>
      </c>
      <c r="AG32" s="10">
        <v>5360</v>
      </c>
      <c r="AH32" s="10">
        <v>4430</v>
      </c>
      <c r="AI32" s="10">
        <v>3865</v>
      </c>
    </row>
    <row r="33" spans="1:35" ht="15.6" x14ac:dyDescent="0.3">
      <c r="A33" s="16" t="s">
        <v>11</v>
      </c>
      <c r="B33" s="10">
        <v>27760</v>
      </c>
      <c r="C33" s="10">
        <v>31020</v>
      </c>
      <c r="D33" s="10">
        <v>29940</v>
      </c>
      <c r="E33" s="10">
        <v>30810</v>
      </c>
      <c r="G33" s="16" t="s">
        <v>21</v>
      </c>
      <c r="H33" s="10">
        <v>29540</v>
      </c>
      <c r="I33" s="10">
        <v>26210</v>
      </c>
      <c r="J33" s="10">
        <v>27190</v>
      </c>
      <c r="K33" s="10">
        <v>25460</v>
      </c>
      <c r="M33" s="16" t="s">
        <v>11</v>
      </c>
      <c r="N33" s="10">
        <v>24710</v>
      </c>
      <c r="O33" s="10">
        <v>27045</v>
      </c>
      <c r="P33" s="10">
        <v>26195</v>
      </c>
      <c r="Q33" s="10">
        <v>25645</v>
      </c>
      <c r="S33" s="16" t="s">
        <v>21</v>
      </c>
      <c r="T33" s="10">
        <v>24780</v>
      </c>
      <c r="U33" s="10">
        <v>23070</v>
      </c>
      <c r="V33" s="10">
        <v>23565</v>
      </c>
      <c r="W33" s="10">
        <v>22220</v>
      </c>
      <c r="Y33" s="16" t="s">
        <v>11</v>
      </c>
      <c r="Z33" s="10">
        <v>390</v>
      </c>
      <c r="AA33" s="10">
        <v>1195</v>
      </c>
      <c r="AB33" s="10">
        <v>1040</v>
      </c>
      <c r="AC33" s="10">
        <v>1700</v>
      </c>
      <c r="AE33" s="16" t="s">
        <v>21</v>
      </c>
      <c r="AF33" s="10">
        <v>1390</v>
      </c>
      <c r="AG33" s="10">
        <v>360</v>
      </c>
      <c r="AH33" s="10">
        <v>1145</v>
      </c>
      <c r="AI33" s="10">
        <v>580</v>
      </c>
    </row>
    <row r="34" spans="1:35" ht="15.6" x14ac:dyDescent="0.3">
      <c r="A34" s="16" t="s">
        <v>12</v>
      </c>
      <c r="B34" s="10">
        <v>19420</v>
      </c>
      <c r="C34" s="10">
        <v>23780</v>
      </c>
      <c r="D34" s="10">
        <v>18980</v>
      </c>
      <c r="E34" s="10">
        <v>23270</v>
      </c>
      <c r="G34" s="16" t="s">
        <v>32</v>
      </c>
      <c r="H34" s="10">
        <v>25480</v>
      </c>
      <c r="I34" s="10">
        <v>27170</v>
      </c>
      <c r="J34" s="10">
        <v>27470</v>
      </c>
      <c r="K34" s="10">
        <v>25620</v>
      </c>
      <c r="M34" s="16" t="s">
        <v>12</v>
      </c>
      <c r="N34" s="10">
        <v>17740</v>
      </c>
      <c r="O34" s="10">
        <v>21510</v>
      </c>
      <c r="P34" s="10">
        <v>17405</v>
      </c>
      <c r="Q34" s="10">
        <v>21395</v>
      </c>
      <c r="S34" s="16" t="s">
        <v>32</v>
      </c>
      <c r="T34" s="10">
        <v>23260</v>
      </c>
      <c r="U34" s="10">
        <v>24080</v>
      </c>
      <c r="V34" s="10">
        <v>24675</v>
      </c>
      <c r="W34" s="10">
        <v>22950</v>
      </c>
      <c r="Y34" s="16" t="s">
        <v>12</v>
      </c>
      <c r="Z34" s="10">
        <v>220</v>
      </c>
      <c r="AA34" s="10">
        <v>425</v>
      </c>
      <c r="AB34" s="10">
        <v>390</v>
      </c>
      <c r="AC34" s="10">
        <v>430</v>
      </c>
      <c r="AE34" s="16" t="s">
        <v>32</v>
      </c>
      <c r="AF34" s="10">
        <v>200</v>
      </c>
      <c r="AG34" s="10">
        <v>1000</v>
      </c>
      <c r="AH34" s="10">
        <v>480</v>
      </c>
      <c r="AI34" s="10">
        <v>520</v>
      </c>
    </row>
    <row r="35" spans="1:35" ht="15.6" x14ac:dyDescent="0.3">
      <c r="A35" s="16" t="s">
        <v>13</v>
      </c>
      <c r="B35" s="10">
        <v>37760</v>
      </c>
      <c r="C35" s="10">
        <v>35380</v>
      </c>
      <c r="D35" s="10">
        <v>28980</v>
      </c>
      <c r="E35" s="10">
        <v>28880</v>
      </c>
      <c r="G35" s="16" t="s">
        <v>22</v>
      </c>
      <c r="H35" s="10">
        <v>28040</v>
      </c>
      <c r="I35" s="10">
        <v>28960</v>
      </c>
      <c r="J35" s="10">
        <v>25820</v>
      </c>
      <c r="K35" s="10">
        <v>27780</v>
      </c>
      <c r="M35" s="16" t="s">
        <v>13</v>
      </c>
      <c r="N35" s="10">
        <v>33100</v>
      </c>
      <c r="O35" s="10">
        <v>31350</v>
      </c>
      <c r="P35" s="10">
        <v>26160</v>
      </c>
      <c r="Q35" s="10">
        <v>25685</v>
      </c>
      <c r="S35" s="16" t="s">
        <v>22</v>
      </c>
      <c r="T35" s="10">
        <v>24940</v>
      </c>
      <c r="U35" s="10">
        <v>25225</v>
      </c>
      <c r="V35" s="10">
        <v>22530</v>
      </c>
      <c r="W35" s="10">
        <v>24955</v>
      </c>
      <c r="Y35" s="16" t="s">
        <v>13</v>
      </c>
      <c r="Z35" s="10">
        <v>1140</v>
      </c>
      <c r="AA35" s="10">
        <v>375</v>
      </c>
      <c r="AB35" s="10">
        <v>265</v>
      </c>
      <c r="AC35" s="10">
        <v>95</v>
      </c>
      <c r="AE35" s="16" t="s">
        <v>22</v>
      </c>
      <c r="AF35" s="10">
        <v>670</v>
      </c>
      <c r="AG35" s="10">
        <v>800</v>
      </c>
      <c r="AH35" s="10">
        <v>400</v>
      </c>
      <c r="AI35" s="10">
        <v>135</v>
      </c>
    </row>
    <row r="36" spans="1:35" ht="15.6" x14ac:dyDescent="0.3">
      <c r="A36" s="16" t="s">
        <v>4</v>
      </c>
      <c r="B36" s="10">
        <v>32900</v>
      </c>
      <c r="C36" s="10">
        <v>25830</v>
      </c>
      <c r="D36" s="10">
        <v>28950</v>
      </c>
      <c r="E36" s="10">
        <v>26350</v>
      </c>
      <c r="G36" s="16" t="s">
        <v>24</v>
      </c>
      <c r="H36" s="10">
        <v>19940</v>
      </c>
      <c r="I36" s="10">
        <v>22930</v>
      </c>
      <c r="J36" s="10">
        <v>23870</v>
      </c>
      <c r="K36" s="10">
        <v>22650</v>
      </c>
      <c r="M36" s="16" t="s">
        <v>4</v>
      </c>
      <c r="N36" s="10">
        <v>27760</v>
      </c>
      <c r="O36" s="10">
        <v>21355</v>
      </c>
      <c r="P36" s="10">
        <v>24275</v>
      </c>
      <c r="Q36" s="10">
        <v>21685</v>
      </c>
      <c r="S36" s="16" t="s">
        <v>24</v>
      </c>
      <c r="T36" s="10">
        <v>16230</v>
      </c>
      <c r="U36" s="10">
        <v>18565</v>
      </c>
      <c r="V36" s="10">
        <v>19370</v>
      </c>
      <c r="W36" s="10">
        <v>18300</v>
      </c>
      <c r="Y36" s="16" t="s">
        <v>4</v>
      </c>
      <c r="Z36" s="10">
        <v>800</v>
      </c>
      <c r="AA36" s="10">
        <v>1250</v>
      </c>
      <c r="AB36" s="10">
        <v>1055</v>
      </c>
      <c r="AC36" s="10">
        <v>1480</v>
      </c>
      <c r="AE36" s="16" t="s">
        <v>24</v>
      </c>
      <c r="AF36" s="10">
        <v>320</v>
      </c>
      <c r="AG36" s="10">
        <v>270</v>
      </c>
      <c r="AH36" s="10">
        <v>380</v>
      </c>
      <c r="AI36" s="10">
        <v>490</v>
      </c>
    </row>
    <row r="37" spans="1:35" ht="15.6" x14ac:dyDescent="0.3">
      <c r="A37" s="16" t="s">
        <v>5</v>
      </c>
      <c r="B37" s="10">
        <v>24500</v>
      </c>
      <c r="C37" s="10">
        <v>22640</v>
      </c>
      <c r="D37" s="10">
        <v>20820</v>
      </c>
      <c r="E37" s="10">
        <v>24240</v>
      </c>
      <c r="G37" s="16" t="s">
        <v>25</v>
      </c>
      <c r="H37" s="10">
        <v>31040</v>
      </c>
      <c r="I37" s="10">
        <v>29320</v>
      </c>
      <c r="J37" s="10">
        <v>29390</v>
      </c>
      <c r="K37" s="10">
        <v>28740</v>
      </c>
      <c r="M37" s="16" t="s">
        <v>5</v>
      </c>
      <c r="N37" s="10">
        <v>19320</v>
      </c>
      <c r="O37" s="10">
        <v>16665</v>
      </c>
      <c r="P37" s="10">
        <v>14390</v>
      </c>
      <c r="Q37" s="10">
        <v>15540</v>
      </c>
      <c r="S37" s="16" t="s">
        <v>25</v>
      </c>
      <c r="T37" s="10">
        <v>25180</v>
      </c>
      <c r="U37" s="10">
        <v>23880</v>
      </c>
      <c r="V37" s="10">
        <v>24695</v>
      </c>
      <c r="W37" s="10">
        <v>22570</v>
      </c>
      <c r="Y37" s="16" t="s">
        <v>5</v>
      </c>
      <c r="Z37" s="10">
        <v>1110</v>
      </c>
      <c r="AA37" s="10">
        <v>1350</v>
      </c>
      <c r="AB37" s="10">
        <v>1475</v>
      </c>
      <c r="AC37" s="10">
        <v>2740</v>
      </c>
      <c r="AE37" s="16" t="s">
        <v>25</v>
      </c>
      <c r="AF37" s="10">
        <v>680</v>
      </c>
      <c r="AG37" s="10">
        <v>1235</v>
      </c>
      <c r="AH37" s="10">
        <v>800</v>
      </c>
      <c r="AI37" s="10">
        <v>2925</v>
      </c>
    </row>
    <row r="38" spans="1:35" ht="15.6" x14ac:dyDescent="0.3">
      <c r="A38" s="16" t="s">
        <v>6</v>
      </c>
      <c r="B38" s="10">
        <v>29160</v>
      </c>
      <c r="C38" s="10">
        <v>31900</v>
      </c>
      <c r="D38" s="10">
        <v>33840</v>
      </c>
      <c r="E38" s="10">
        <v>29120</v>
      </c>
      <c r="G38" s="16" t="s">
        <v>26</v>
      </c>
      <c r="H38" s="10">
        <v>30240</v>
      </c>
      <c r="I38" s="10">
        <v>27600</v>
      </c>
      <c r="J38" s="10">
        <v>27600</v>
      </c>
      <c r="K38" s="10">
        <v>27000</v>
      </c>
      <c r="M38" s="16" t="s">
        <v>6</v>
      </c>
      <c r="N38" s="10">
        <v>22290</v>
      </c>
      <c r="O38" s="10">
        <v>22150</v>
      </c>
      <c r="P38" s="10">
        <v>26990</v>
      </c>
      <c r="Q38" s="10">
        <v>21125</v>
      </c>
      <c r="S38" s="16" t="s">
        <v>26</v>
      </c>
      <c r="T38" s="10">
        <v>25920</v>
      </c>
      <c r="U38" s="10">
        <v>23230</v>
      </c>
      <c r="V38" s="10">
        <v>24010</v>
      </c>
      <c r="W38" s="10">
        <v>24520</v>
      </c>
      <c r="Y38" s="16" t="s">
        <v>6</v>
      </c>
      <c r="Z38" s="10">
        <v>1780</v>
      </c>
      <c r="AA38" s="10">
        <v>3080</v>
      </c>
      <c r="AB38" s="10">
        <v>900</v>
      </c>
      <c r="AC38" s="10">
        <v>1485</v>
      </c>
      <c r="AE38" s="16" t="s">
        <v>26</v>
      </c>
      <c r="AF38" s="10">
        <v>960</v>
      </c>
      <c r="AG38" s="10">
        <v>1470</v>
      </c>
      <c r="AH38" s="10">
        <v>550</v>
      </c>
      <c r="AI38" s="10">
        <v>460</v>
      </c>
    </row>
    <row r="39" spans="1:35" ht="15.6" x14ac:dyDescent="0.3">
      <c r="A39" s="16" t="s">
        <v>7</v>
      </c>
      <c r="B39" s="10">
        <v>30020</v>
      </c>
      <c r="C39" s="10">
        <v>27090</v>
      </c>
      <c r="D39" s="10">
        <v>25490</v>
      </c>
      <c r="E39" s="10">
        <v>26160</v>
      </c>
      <c r="G39" s="16" t="s">
        <v>27</v>
      </c>
      <c r="H39" s="10">
        <v>30160</v>
      </c>
      <c r="I39" s="10">
        <v>32070</v>
      </c>
      <c r="J39" s="10">
        <v>31300</v>
      </c>
      <c r="K39" s="10">
        <v>30030</v>
      </c>
      <c r="M39" s="16" t="s">
        <v>7</v>
      </c>
      <c r="N39" s="10">
        <v>24970</v>
      </c>
      <c r="O39" s="10">
        <v>22945</v>
      </c>
      <c r="P39" s="10">
        <v>22745</v>
      </c>
      <c r="Q39" s="10">
        <v>22300</v>
      </c>
      <c r="S39" s="16" t="s">
        <v>27</v>
      </c>
      <c r="T39" s="10">
        <v>25000</v>
      </c>
      <c r="U39" s="10">
        <v>27625</v>
      </c>
      <c r="V39" s="10">
        <v>26190</v>
      </c>
      <c r="W39" s="10">
        <v>25330</v>
      </c>
      <c r="Y39" s="16" t="s">
        <v>7</v>
      </c>
      <c r="Z39" s="10">
        <v>2120</v>
      </c>
      <c r="AA39" s="10">
        <v>1145</v>
      </c>
      <c r="AB39" s="10">
        <v>370</v>
      </c>
      <c r="AC39" s="10">
        <v>1665</v>
      </c>
      <c r="AE39" s="16" t="s">
        <v>27</v>
      </c>
      <c r="AF39" s="10">
        <v>1420</v>
      </c>
      <c r="AG39" s="10">
        <v>2030</v>
      </c>
      <c r="AH39" s="10">
        <v>2435</v>
      </c>
      <c r="AI39" s="10">
        <v>1770</v>
      </c>
    </row>
    <row r="40" spans="1:35" ht="15.6" x14ac:dyDescent="0.3">
      <c r="A40" s="16" t="s">
        <v>8</v>
      </c>
      <c r="B40" s="10">
        <v>31060</v>
      </c>
      <c r="C40" s="10">
        <v>27260</v>
      </c>
      <c r="D40" s="10">
        <v>29660</v>
      </c>
      <c r="E40" s="10">
        <v>31260</v>
      </c>
      <c r="G40" s="21"/>
      <c r="H40" s="9"/>
      <c r="I40" s="9"/>
      <c r="J40" s="9"/>
      <c r="K40" s="9"/>
      <c r="M40" s="16" t="s">
        <v>8</v>
      </c>
      <c r="N40" s="10">
        <v>25770</v>
      </c>
      <c r="O40" s="10">
        <v>23135</v>
      </c>
      <c r="P40" s="10">
        <v>23470</v>
      </c>
      <c r="Q40" s="10">
        <v>26545</v>
      </c>
      <c r="S40" s="9"/>
      <c r="T40" s="9"/>
      <c r="U40" s="9"/>
      <c r="V40" s="9"/>
      <c r="W40" s="9"/>
      <c r="Y40" s="16" t="s">
        <v>8</v>
      </c>
      <c r="Z40" s="10">
        <v>1950</v>
      </c>
      <c r="AA40" s="10">
        <v>1465</v>
      </c>
      <c r="AB40" s="10">
        <v>1715</v>
      </c>
      <c r="AC40" s="10">
        <v>2170</v>
      </c>
      <c r="AE40" s="21"/>
      <c r="AF40" s="9"/>
      <c r="AG40" s="9"/>
      <c r="AH40" s="9"/>
      <c r="AI40" s="9"/>
    </row>
    <row r="41" spans="1:35" x14ac:dyDescent="0.3">
      <c r="A41" s="21"/>
      <c r="B41" s="9"/>
      <c r="C41" s="9"/>
      <c r="D41" s="9"/>
      <c r="E41" s="9"/>
      <c r="G41" s="21"/>
      <c r="H41" s="9"/>
      <c r="I41" s="9"/>
      <c r="J41" s="9"/>
      <c r="K41" s="9"/>
      <c r="M41" s="21"/>
      <c r="N41" s="9"/>
      <c r="O41" s="9"/>
      <c r="P41" s="9"/>
      <c r="Q41" s="9"/>
      <c r="S41" s="9"/>
      <c r="T41" s="9"/>
      <c r="U41" s="9"/>
      <c r="V41" s="9"/>
      <c r="W41" s="9"/>
      <c r="Y41" s="9"/>
      <c r="Z41" s="9"/>
      <c r="AA41" s="9"/>
      <c r="AB41" s="9"/>
      <c r="AC41" s="9"/>
      <c r="AE41" s="9"/>
      <c r="AF41" s="9"/>
      <c r="AG41" s="9"/>
      <c r="AH41" s="9"/>
      <c r="AI41" s="9"/>
    </row>
    <row r="42" spans="1:35" x14ac:dyDescent="0.3">
      <c r="A42" s="5" t="s">
        <v>1</v>
      </c>
      <c r="B42" s="6">
        <f>AVERAGE(B26:B40)</f>
        <v>29130.666666666668</v>
      </c>
      <c r="C42" s="6">
        <f t="shared" ref="C42:E42" si="6">AVERAGE(C26:C40)</f>
        <v>28166</v>
      </c>
      <c r="D42" s="6">
        <f t="shared" si="6"/>
        <v>27193.333333333332</v>
      </c>
      <c r="E42" s="6">
        <f t="shared" si="6"/>
        <v>27886</v>
      </c>
      <c r="G42" s="5" t="s">
        <v>1</v>
      </c>
      <c r="H42" s="6">
        <f>AVERAGE(H26:H39)</f>
        <v>29155.714285714286</v>
      </c>
      <c r="I42" s="6">
        <f>AVERAGE(I26:I39)</f>
        <v>28595</v>
      </c>
      <c r="J42" s="6">
        <f>AVERAGE(J26:J39)</f>
        <v>29115</v>
      </c>
      <c r="K42" s="6">
        <f>AVERAGE(K26:K39)</f>
        <v>28253.571428571428</v>
      </c>
      <c r="M42" s="5" t="s">
        <v>1</v>
      </c>
      <c r="N42" s="6">
        <f>AVERAGE(N26:N40)</f>
        <v>24096.666666666668</v>
      </c>
      <c r="O42" s="6">
        <f t="shared" ref="O42:Q42" si="7">AVERAGE(O26:O40)</f>
        <v>23338</v>
      </c>
      <c r="P42" s="6">
        <f t="shared" si="7"/>
        <v>22433.333333333332</v>
      </c>
      <c r="Q42" s="6">
        <f t="shared" si="7"/>
        <v>22904.333333333332</v>
      </c>
      <c r="S42" s="5" t="s">
        <v>1</v>
      </c>
      <c r="T42" s="6">
        <f>AVERAGE(T26:T39)</f>
        <v>24171.428571428572</v>
      </c>
      <c r="U42" s="6">
        <f>AVERAGE(U26:U39)</f>
        <v>23331.428571428572</v>
      </c>
      <c r="V42" s="6">
        <f>AVERAGE(V26:V39)</f>
        <v>23956.428571428572</v>
      </c>
      <c r="W42" s="6">
        <f>AVERAGE(W26:W39)</f>
        <v>23268.214285714286</v>
      </c>
      <c r="Y42" s="5" t="s">
        <v>1</v>
      </c>
      <c r="Z42" s="6">
        <f>AVERAGE(Z26:Z40)</f>
        <v>1149.3333333333333</v>
      </c>
      <c r="AA42" s="6">
        <f>AVERAGE(AA26:AA40)</f>
        <v>975.66666666666663</v>
      </c>
      <c r="AB42" s="6">
        <f>AVERAGE(AB26:AB40)</f>
        <v>961.33333333333337</v>
      </c>
      <c r="AC42" s="6">
        <f>AVERAGE(AC26:AC40)</f>
        <v>1111.3333333333333</v>
      </c>
      <c r="AE42" s="5" t="s">
        <v>1</v>
      </c>
      <c r="AF42" s="6">
        <f>AVERAGE(AF26:AF39)</f>
        <v>1155</v>
      </c>
      <c r="AG42" s="6">
        <f>AVERAGE(AG26:AG39)</f>
        <v>1506.7857142857142</v>
      </c>
      <c r="AH42" s="6">
        <f>AVERAGE(AH26:AH39)</f>
        <v>1475.3571428571429</v>
      </c>
      <c r="AI42" s="6">
        <f>AVERAGE(AI26:AI39)</f>
        <v>1414.6428571428571</v>
      </c>
    </row>
    <row r="43" spans="1:35" x14ac:dyDescent="0.3">
      <c r="A43" s="5" t="s">
        <v>2</v>
      </c>
      <c r="B43" s="6">
        <f>_xlfn.STDEV.S(B26:B40)</f>
        <v>4621.5264433590246</v>
      </c>
      <c r="C43" s="6">
        <f t="shared" ref="C43:E43" si="8">_xlfn.STDEV.S(C26:C40)</f>
        <v>3322.7093076068427</v>
      </c>
      <c r="D43" s="6">
        <f t="shared" si="8"/>
        <v>3650.2341738318064</v>
      </c>
      <c r="E43" s="6">
        <f t="shared" si="8"/>
        <v>2391.672457268583</v>
      </c>
      <c r="G43" s="5" t="s">
        <v>2</v>
      </c>
      <c r="H43" s="6">
        <f>_xlfn.STDEV.S(H26:H39)</f>
        <v>3481.3275855974543</v>
      </c>
      <c r="I43" s="6">
        <f>_xlfn.STDEV.S(I26:I39)</f>
        <v>2496.6554551115901</v>
      </c>
      <c r="J43" s="6">
        <f>_xlfn.STDEV.S(J26:J39)</f>
        <v>2929.9901548797579</v>
      </c>
      <c r="K43" s="6">
        <f>_xlfn.STDEV.S(K26:K39)</f>
        <v>2867.9062508625107</v>
      </c>
      <c r="M43" s="5" t="s">
        <v>2</v>
      </c>
      <c r="N43" s="6">
        <f>_xlfn.STDEV.S(N26:N40)</f>
        <v>3872.0438801134283</v>
      </c>
      <c r="O43" s="6">
        <f t="shared" ref="O43:Q43" si="9">_xlfn.STDEV.S(O26:O40)</f>
        <v>3143.7771867611737</v>
      </c>
      <c r="P43" s="6">
        <f t="shared" si="9"/>
        <v>3280.0384724805222</v>
      </c>
      <c r="Q43" s="6">
        <f t="shared" si="9"/>
        <v>2674.2581525848705</v>
      </c>
      <c r="S43" s="5" t="s">
        <v>2</v>
      </c>
      <c r="T43" s="6">
        <f>_xlfn.STDEV.S(T26:T39)</f>
        <v>2550.6676566157175</v>
      </c>
      <c r="U43" s="6">
        <f>_xlfn.STDEV.S(U26:U39)</f>
        <v>2294.9345797374544</v>
      </c>
      <c r="V43" s="6">
        <f>_xlfn.STDEV.S(V26:V39)</f>
        <v>1931.0623108412758</v>
      </c>
      <c r="W43" s="6">
        <f>_xlfn.STDEV.S(W26:W39)</f>
        <v>1886.436003871665</v>
      </c>
      <c r="Y43" s="5" t="s">
        <v>2</v>
      </c>
      <c r="Z43" s="6">
        <f>_xlfn.STDEV.S(Z26:Z40)</f>
        <v>798.10012499924437</v>
      </c>
      <c r="AA43" s="6">
        <f>_xlfn.STDEV.S(AA26:AA40)</f>
        <v>700.56320879975533</v>
      </c>
      <c r="AB43" s="6">
        <f>_xlfn.STDEV.S(AB26:AB40)</f>
        <v>715.80241354587179</v>
      </c>
      <c r="AC43" s="6">
        <f>_xlfn.STDEV.S(AC26:AC40)</f>
        <v>820.41467447580317</v>
      </c>
      <c r="AE43" s="5" t="s">
        <v>2</v>
      </c>
      <c r="AF43" s="6">
        <f>_xlfn.STDEV.S(AF26:AF39)</f>
        <v>771.54939021326527</v>
      </c>
      <c r="AG43" s="6">
        <f>_xlfn.STDEV.S(AG26:AG39)</f>
        <v>1355.7507246808048</v>
      </c>
      <c r="AH43" s="6">
        <f>_xlfn.STDEV.S(AH26:AH39)</f>
        <v>1188.7686976378191</v>
      </c>
      <c r="AI43" s="6">
        <f>_xlfn.STDEV.S(AI26:AI39)</f>
        <v>1307.8130075195622</v>
      </c>
    </row>
    <row r="47" spans="1:35" x14ac:dyDescent="0.3">
      <c r="A47" s="9"/>
      <c r="B47" s="39" t="s">
        <v>46</v>
      </c>
      <c r="C47" s="39"/>
      <c r="D47" s="39"/>
      <c r="E47" s="39"/>
      <c r="G47" s="9"/>
      <c r="H47" s="39" t="s">
        <v>47</v>
      </c>
      <c r="I47" s="39"/>
      <c r="J47" s="39"/>
      <c r="K47" s="39"/>
      <c r="M47" s="9"/>
      <c r="N47" s="39" t="s">
        <v>52</v>
      </c>
      <c r="O47" s="39"/>
      <c r="P47" s="39"/>
      <c r="Q47" s="39"/>
      <c r="S47" s="9"/>
      <c r="T47" s="39" t="s">
        <v>53</v>
      </c>
      <c r="U47" s="39"/>
      <c r="V47" s="39"/>
      <c r="W47" s="39"/>
      <c r="Y47" s="9"/>
      <c r="Z47" s="39" t="s">
        <v>56</v>
      </c>
      <c r="AA47" s="39"/>
      <c r="AB47" s="39"/>
      <c r="AC47" s="39"/>
      <c r="AE47" s="9"/>
      <c r="AF47" s="39" t="s">
        <v>57</v>
      </c>
      <c r="AG47" s="39"/>
      <c r="AH47" s="39"/>
      <c r="AI47" s="39"/>
    </row>
    <row r="48" spans="1:35" ht="15.6" x14ac:dyDescent="0.3">
      <c r="A48" s="17"/>
      <c r="B48" s="17" t="s">
        <v>48</v>
      </c>
      <c r="C48" s="17" t="s">
        <v>49</v>
      </c>
      <c r="D48" s="17" t="s">
        <v>50</v>
      </c>
      <c r="E48" s="17" t="s">
        <v>51</v>
      </c>
      <c r="G48" s="21"/>
      <c r="H48" s="17" t="s">
        <v>48</v>
      </c>
      <c r="I48" s="17" t="s">
        <v>49</v>
      </c>
      <c r="J48" s="17" t="s">
        <v>50</v>
      </c>
      <c r="K48" s="17" t="s">
        <v>51</v>
      </c>
      <c r="M48" s="17"/>
      <c r="N48" s="17" t="s">
        <v>48</v>
      </c>
      <c r="O48" s="17" t="s">
        <v>49</v>
      </c>
      <c r="P48" s="17" t="s">
        <v>50</v>
      </c>
      <c r="Q48" s="17" t="s">
        <v>51</v>
      </c>
      <c r="S48" s="21"/>
      <c r="T48" s="17" t="s">
        <v>48</v>
      </c>
      <c r="U48" s="17" t="s">
        <v>49</v>
      </c>
      <c r="V48" s="17" t="s">
        <v>50</v>
      </c>
      <c r="W48" s="17" t="s">
        <v>51</v>
      </c>
      <c r="Y48" s="17"/>
      <c r="Z48" s="17" t="s">
        <v>48</v>
      </c>
      <c r="AA48" s="17" t="s">
        <v>49</v>
      </c>
      <c r="AB48" s="17" t="s">
        <v>50</v>
      </c>
      <c r="AC48" s="17" t="s">
        <v>51</v>
      </c>
      <c r="AE48" s="21"/>
      <c r="AF48" s="17" t="s">
        <v>48</v>
      </c>
      <c r="AG48" s="17" t="s">
        <v>49</v>
      </c>
      <c r="AH48" s="17" t="s">
        <v>50</v>
      </c>
      <c r="AI48" s="17" t="s">
        <v>51</v>
      </c>
    </row>
    <row r="49" spans="1:35" ht="15.6" x14ac:dyDescent="0.3">
      <c r="A49" s="16" t="s">
        <v>14</v>
      </c>
      <c r="B49" s="19">
        <f>B26/86400</f>
        <v>0.3127314814814815</v>
      </c>
      <c r="C49" s="19">
        <f t="shared" ref="C49:E49" si="10">C26/86400</f>
        <v>0.34039351851851851</v>
      </c>
      <c r="D49" s="19">
        <f t="shared" si="10"/>
        <v>0.33148148148148149</v>
      </c>
      <c r="E49" s="19">
        <f t="shared" si="10"/>
        <v>0.34039351851851851</v>
      </c>
      <c r="G49" s="16" t="s">
        <v>28</v>
      </c>
      <c r="H49" s="19">
        <f>H26/86400</f>
        <v>0.35671296296296295</v>
      </c>
      <c r="I49" s="19">
        <f t="shared" ref="I49:K49" si="11">I26/86400</f>
        <v>0.34317129629629628</v>
      </c>
      <c r="J49" s="19">
        <f t="shared" si="11"/>
        <v>0.34560185185185183</v>
      </c>
      <c r="K49" s="19">
        <f t="shared" si="11"/>
        <v>0.34780092592592593</v>
      </c>
      <c r="M49" s="16" t="s">
        <v>14</v>
      </c>
      <c r="N49" s="19">
        <f>N26/86400</f>
        <v>0.24016203703703703</v>
      </c>
      <c r="O49" s="19">
        <f t="shared" ref="O49:Q49" si="12">O26/86400</f>
        <v>0.28020833333333334</v>
      </c>
      <c r="P49" s="19">
        <f t="shared" si="12"/>
        <v>0.25353009259259257</v>
      </c>
      <c r="Q49" s="19">
        <f t="shared" si="12"/>
        <v>0.27199074074074076</v>
      </c>
      <c r="S49" s="16" t="s">
        <v>28</v>
      </c>
      <c r="T49" s="19">
        <f>T26/86400</f>
        <v>0.29733796296296294</v>
      </c>
      <c r="U49" s="19">
        <f t="shared" ref="U49:W49" si="13">U26/86400</f>
        <v>0.27737268518518521</v>
      </c>
      <c r="V49" s="19">
        <f t="shared" si="13"/>
        <v>0.28478009259259257</v>
      </c>
      <c r="W49" s="19">
        <f t="shared" si="13"/>
        <v>0.29346064814814815</v>
      </c>
      <c r="Y49" s="16" t="s">
        <v>14</v>
      </c>
      <c r="Z49" s="19">
        <f>Z26/86400</f>
        <v>3.4375000000000003E-2</v>
      </c>
      <c r="AA49" s="19">
        <f t="shared" ref="AA49:AC49" si="14">AA26/86400</f>
        <v>1.1747685185185186E-2</v>
      </c>
      <c r="AB49" s="19">
        <f t="shared" si="14"/>
        <v>2.4421296296296295E-2</v>
      </c>
      <c r="AC49" s="19">
        <f t="shared" si="14"/>
        <v>1.712962962962963E-2</v>
      </c>
      <c r="AE49" s="16" t="s">
        <v>28</v>
      </c>
      <c r="AF49" s="19">
        <f>AF26/86400</f>
        <v>1.5625E-2</v>
      </c>
      <c r="AG49" s="19">
        <f t="shared" ref="AG49:AI49" si="15">AG26/86400</f>
        <v>2.2916666666666665E-2</v>
      </c>
      <c r="AH49" s="19">
        <f t="shared" si="15"/>
        <v>1.7997685185185186E-2</v>
      </c>
      <c r="AI49" s="19">
        <f t="shared" si="15"/>
        <v>7.0023148148148145E-3</v>
      </c>
    </row>
    <row r="50" spans="1:35" ht="15.6" x14ac:dyDescent="0.3">
      <c r="A50" s="16" t="s">
        <v>15</v>
      </c>
      <c r="B50" s="19">
        <f t="shared" ref="B50:E50" si="16">B27/86400</f>
        <v>0.43240740740740741</v>
      </c>
      <c r="C50" s="19">
        <f t="shared" si="16"/>
        <v>0.34212962962962962</v>
      </c>
      <c r="D50" s="19">
        <f t="shared" si="16"/>
        <v>0.32905092592592594</v>
      </c>
      <c r="E50" s="19">
        <f t="shared" si="16"/>
        <v>0.33680555555555558</v>
      </c>
      <c r="G50" s="16" t="s">
        <v>30</v>
      </c>
      <c r="H50" s="19">
        <f t="shared" ref="H50:K50" si="17">H27/86400</f>
        <v>0.33888888888888891</v>
      </c>
      <c r="I50" s="19">
        <f t="shared" si="17"/>
        <v>0.29826388888888888</v>
      </c>
      <c r="J50" s="19">
        <f t="shared" si="17"/>
        <v>0.33043981481481483</v>
      </c>
      <c r="K50" s="19">
        <f t="shared" si="17"/>
        <v>0.32777777777777778</v>
      </c>
      <c r="M50" s="16" t="s">
        <v>15</v>
      </c>
      <c r="N50" s="19">
        <f t="shared" ref="N50:Q50" si="18">N27/86400</f>
        <v>0.31944444444444442</v>
      </c>
      <c r="O50" s="19">
        <f t="shared" si="18"/>
        <v>0.26001157407407405</v>
      </c>
      <c r="P50" s="19">
        <f t="shared" si="18"/>
        <v>0.25891203703703702</v>
      </c>
      <c r="Q50" s="19">
        <f t="shared" si="18"/>
        <v>0.26857638888888891</v>
      </c>
      <c r="S50" s="16" t="s">
        <v>30</v>
      </c>
      <c r="T50" s="19">
        <f t="shared" ref="T50:W50" si="19">T27/86400</f>
        <v>0.28923611111111114</v>
      </c>
      <c r="U50" s="19">
        <f t="shared" si="19"/>
        <v>0.25821759259259258</v>
      </c>
      <c r="V50" s="19">
        <f t="shared" si="19"/>
        <v>0.28923611111111114</v>
      </c>
      <c r="W50" s="19">
        <f t="shared" si="19"/>
        <v>0.28402777777777777</v>
      </c>
      <c r="Y50" s="16" t="s">
        <v>15</v>
      </c>
      <c r="Z50" s="19">
        <f t="shared" ref="Z50:AC50" si="20">Z27/86400</f>
        <v>9.6064814814814815E-3</v>
      </c>
      <c r="AA50" s="19">
        <f t="shared" si="20"/>
        <v>6.6550925925925927E-3</v>
      </c>
      <c r="AB50" s="19">
        <f t="shared" si="20"/>
        <v>5.324074074074074E-3</v>
      </c>
      <c r="AC50" s="19">
        <f t="shared" si="20"/>
        <v>6.9444444444444447E-4</v>
      </c>
      <c r="AE50" s="16" t="s">
        <v>30</v>
      </c>
      <c r="AF50" s="19">
        <f t="shared" ref="AF50:AI50" si="21">AF27/86400</f>
        <v>2.3148148148148147E-3</v>
      </c>
      <c r="AG50" s="19">
        <f t="shared" si="21"/>
        <v>2.9513888888888888E-3</v>
      </c>
      <c r="AH50" s="19">
        <f t="shared" si="21"/>
        <v>5.208333333333333E-3</v>
      </c>
      <c r="AI50" s="19">
        <f t="shared" si="21"/>
        <v>1.5625000000000001E-3</v>
      </c>
    </row>
    <row r="51" spans="1:35" ht="15.6" x14ac:dyDescent="0.3">
      <c r="A51" s="16" t="s">
        <v>16</v>
      </c>
      <c r="B51" s="19">
        <f t="shared" ref="B51:E51" si="22">B28/86400</f>
        <v>0.34212962962962962</v>
      </c>
      <c r="C51" s="19">
        <f t="shared" si="22"/>
        <v>0.31736111111111109</v>
      </c>
      <c r="D51" s="19">
        <f t="shared" si="22"/>
        <v>0.31099537037037039</v>
      </c>
      <c r="E51" s="19">
        <f t="shared" si="22"/>
        <v>0.32372685185185185</v>
      </c>
      <c r="G51" s="16" t="s">
        <v>19</v>
      </c>
      <c r="H51" s="19">
        <f t="shared" ref="H51:K51" si="23">H28/86400</f>
        <v>0.36249999999999999</v>
      </c>
      <c r="I51" s="19">
        <f t="shared" si="23"/>
        <v>0.34664351851851855</v>
      </c>
      <c r="J51" s="19">
        <f t="shared" si="23"/>
        <v>0.40370370370370373</v>
      </c>
      <c r="K51" s="19">
        <f t="shared" si="23"/>
        <v>0.31585648148148149</v>
      </c>
      <c r="M51" s="16" t="s">
        <v>16</v>
      </c>
      <c r="N51" s="19">
        <f t="shared" ref="N51:Q51" si="24">N28/86400</f>
        <v>0.31261574074074072</v>
      </c>
      <c r="O51" s="19">
        <f t="shared" si="24"/>
        <v>0.27818287037037037</v>
      </c>
      <c r="P51" s="19">
        <f t="shared" si="24"/>
        <v>0.27644675925925927</v>
      </c>
      <c r="Q51" s="19">
        <f t="shared" si="24"/>
        <v>0.28825231481481484</v>
      </c>
      <c r="S51" s="16" t="s">
        <v>19</v>
      </c>
      <c r="T51" s="19">
        <f t="shared" ref="T51:W51" si="25">T28/86400</f>
        <v>0.29525462962962962</v>
      </c>
      <c r="U51" s="19">
        <f t="shared" si="25"/>
        <v>0.28425925925925927</v>
      </c>
      <c r="V51" s="19">
        <f t="shared" si="25"/>
        <v>0.3220486111111111</v>
      </c>
      <c r="W51" s="19">
        <f t="shared" si="25"/>
        <v>0.25202546296296297</v>
      </c>
      <c r="Y51" s="16" t="s">
        <v>16</v>
      </c>
      <c r="Z51" s="19">
        <f t="shared" ref="Z51:AC51" si="26">Z28/86400</f>
        <v>2.4305555555555556E-3</v>
      </c>
      <c r="AA51" s="19">
        <f t="shared" si="26"/>
        <v>6.2500000000000003E-3</v>
      </c>
      <c r="AB51" s="19">
        <f t="shared" si="26"/>
        <v>6.6550925925925927E-3</v>
      </c>
      <c r="AC51" s="19">
        <f t="shared" si="26"/>
        <v>1.3310185185185185E-3</v>
      </c>
      <c r="AE51" s="16" t="s">
        <v>19</v>
      </c>
      <c r="AF51" s="19">
        <f t="shared" ref="AF51:AI51" si="27">AF28/86400</f>
        <v>1.5509259259259259E-2</v>
      </c>
      <c r="AG51" s="19">
        <f t="shared" si="27"/>
        <v>7.9282407407407409E-3</v>
      </c>
      <c r="AH51" s="19">
        <f t="shared" si="27"/>
        <v>2.4537037037037038E-2</v>
      </c>
      <c r="AI51" s="19">
        <f t="shared" si="27"/>
        <v>1.6840277777777777E-2</v>
      </c>
    </row>
    <row r="52" spans="1:35" ht="15.6" x14ac:dyDescent="0.3">
      <c r="A52" s="16" t="s">
        <v>17</v>
      </c>
      <c r="B52" s="19">
        <f t="shared" ref="B52:E52" si="28">B29/86400</f>
        <v>0.30648148148148147</v>
      </c>
      <c r="C52" s="19">
        <f t="shared" si="28"/>
        <v>0.34085648148148145</v>
      </c>
      <c r="D52" s="19">
        <f t="shared" si="28"/>
        <v>0.33078703703703705</v>
      </c>
      <c r="E52" s="19">
        <f t="shared" si="28"/>
        <v>0.33645833333333336</v>
      </c>
      <c r="G52" s="16" t="s">
        <v>23</v>
      </c>
      <c r="H52" s="19">
        <f t="shared" ref="H52:K52" si="29">H29/86400</f>
        <v>0.30902777777777779</v>
      </c>
      <c r="I52" s="19">
        <f t="shared" si="29"/>
        <v>0.33229166666666665</v>
      </c>
      <c r="J52" s="19">
        <f t="shared" si="29"/>
        <v>0.34050925925925923</v>
      </c>
      <c r="K52" s="19">
        <f t="shared" si="29"/>
        <v>0.31087962962962962</v>
      </c>
      <c r="M52" s="16" t="s">
        <v>17</v>
      </c>
      <c r="N52" s="19">
        <f t="shared" ref="N52:Q52" si="30">N29/86400</f>
        <v>0.24606481481481482</v>
      </c>
      <c r="O52" s="19">
        <f t="shared" si="30"/>
        <v>0.27112268518518517</v>
      </c>
      <c r="P52" s="19">
        <f t="shared" si="30"/>
        <v>0.25723379629629628</v>
      </c>
      <c r="Q52" s="19">
        <f t="shared" si="30"/>
        <v>0.25260416666666669</v>
      </c>
      <c r="S52" s="16" t="s">
        <v>23</v>
      </c>
      <c r="T52" s="19">
        <f t="shared" ref="T52:W52" si="31">T29/86400</f>
        <v>0.25312499999999999</v>
      </c>
      <c r="U52" s="19">
        <f t="shared" si="31"/>
        <v>0.27164351851851853</v>
      </c>
      <c r="V52" s="19">
        <f t="shared" si="31"/>
        <v>0.27228009259259262</v>
      </c>
      <c r="W52" s="19">
        <f t="shared" si="31"/>
        <v>0.25630787037037039</v>
      </c>
      <c r="Y52" s="16" t="s">
        <v>17</v>
      </c>
      <c r="Z52" s="19">
        <f t="shared" ref="Z52:AC52" si="32">Z29/86400</f>
        <v>1.2152777777777778E-2</v>
      </c>
      <c r="AA52" s="19">
        <f t="shared" si="32"/>
        <v>8.7384259259259255E-3</v>
      </c>
      <c r="AB52" s="19">
        <f t="shared" si="32"/>
        <v>7.4074074074074077E-3</v>
      </c>
      <c r="AC52" s="19">
        <f t="shared" si="32"/>
        <v>1.3657407407407408E-2</v>
      </c>
      <c r="AE52" s="16" t="s">
        <v>23</v>
      </c>
      <c r="AF52" s="19">
        <f t="shared" ref="AF52:AI52" si="33">AF29/86400</f>
        <v>7.9861111111111105E-3</v>
      </c>
      <c r="AG52" s="19">
        <f t="shared" si="33"/>
        <v>8.5069444444444437E-3</v>
      </c>
      <c r="AH52" s="19">
        <f t="shared" si="33"/>
        <v>1.0821759259259258E-2</v>
      </c>
      <c r="AI52" s="19">
        <f t="shared" si="33"/>
        <v>9.6064814814814815E-3</v>
      </c>
    </row>
    <row r="53" spans="1:35" ht="15.6" x14ac:dyDescent="0.3">
      <c r="A53" s="16" t="s">
        <v>18</v>
      </c>
      <c r="B53" s="19">
        <f t="shared" ref="B53:E53" si="34">B30/86400</f>
        <v>0.33796296296296297</v>
      </c>
      <c r="C53" s="19">
        <f t="shared" si="34"/>
        <v>0.34988425925925926</v>
      </c>
      <c r="D53" s="19">
        <f t="shared" si="34"/>
        <v>0.30115740740740743</v>
      </c>
      <c r="E53" s="19">
        <f t="shared" si="34"/>
        <v>0.35162037037037036</v>
      </c>
      <c r="G53" s="16" t="s">
        <v>29</v>
      </c>
      <c r="H53" s="19">
        <f t="shared" ref="H53:K53" si="35">H30/86400</f>
        <v>0.36273148148148149</v>
      </c>
      <c r="I53" s="19">
        <f t="shared" si="35"/>
        <v>0.35150462962962964</v>
      </c>
      <c r="J53" s="19">
        <f t="shared" si="35"/>
        <v>0.3351851851851852</v>
      </c>
      <c r="K53" s="19">
        <f t="shared" si="35"/>
        <v>0.3454861111111111</v>
      </c>
      <c r="M53" s="16" t="s">
        <v>18</v>
      </c>
      <c r="N53" s="19">
        <f t="shared" ref="N53:Q53" si="36">N30/86400</f>
        <v>0.27314814814814814</v>
      </c>
      <c r="O53" s="19">
        <f t="shared" si="36"/>
        <v>0.28512731481481479</v>
      </c>
      <c r="P53" s="19">
        <f t="shared" si="36"/>
        <v>0.23987268518518517</v>
      </c>
      <c r="Q53" s="19">
        <f t="shared" si="36"/>
        <v>0.28570601851851851</v>
      </c>
      <c r="S53" s="16" t="s">
        <v>29</v>
      </c>
      <c r="T53" s="19">
        <f t="shared" ref="T53:W53" si="37">T30/86400</f>
        <v>0.29421296296296295</v>
      </c>
      <c r="U53" s="19">
        <f t="shared" si="37"/>
        <v>0.28877314814814814</v>
      </c>
      <c r="V53" s="19">
        <f t="shared" si="37"/>
        <v>0.27112268518518517</v>
      </c>
      <c r="W53" s="19">
        <f t="shared" si="37"/>
        <v>0.26961805555555557</v>
      </c>
      <c r="Y53" s="16" t="s">
        <v>18</v>
      </c>
      <c r="Z53" s="19">
        <f t="shared" ref="Z53:AC53" si="38">Z30/86400</f>
        <v>1.5740740740740739E-2</v>
      </c>
      <c r="AA53" s="19">
        <f t="shared" si="38"/>
        <v>7.5810185185185182E-3</v>
      </c>
      <c r="AB53" s="19">
        <f t="shared" si="38"/>
        <v>3.3564814814814816E-3</v>
      </c>
      <c r="AC53" s="19">
        <f t="shared" si="38"/>
        <v>7.2337962962962963E-3</v>
      </c>
      <c r="AE53" s="16" t="s">
        <v>29</v>
      </c>
      <c r="AF53" s="19">
        <f t="shared" ref="AF53:AI53" si="39">AF30/86400</f>
        <v>3.1597222222222221E-2</v>
      </c>
      <c r="AG53" s="19">
        <f t="shared" si="39"/>
        <v>2.4537037037037038E-2</v>
      </c>
      <c r="AH53" s="19">
        <f t="shared" si="39"/>
        <v>3.1828703703703706E-2</v>
      </c>
      <c r="AI53" s="19">
        <f t="shared" si="39"/>
        <v>4.3692129629629629E-2</v>
      </c>
    </row>
    <row r="54" spans="1:35" ht="15.6" x14ac:dyDescent="0.3">
      <c r="A54" s="16" t="s">
        <v>9</v>
      </c>
      <c r="B54" s="19">
        <f t="shared" ref="B54:E54" si="40">B31/86400</f>
        <v>0.33032407407407405</v>
      </c>
      <c r="C54" s="19">
        <f t="shared" si="40"/>
        <v>0.30879629629629629</v>
      </c>
      <c r="D54" s="19">
        <f t="shared" si="40"/>
        <v>0.31921296296296298</v>
      </c>
      <c r="E54" s="19">
        <f t="shared" si="40"/>
        <v>0.30555555555555558</v>
      </c>
      <c r="G54" s="16" t="s">
        <v>31</v>
      </c>
      <c r="H54" s="19">
        <f t="shared" ref="H54:K54" si="41">H31/86400</f>
        <v>0.33935185185185185</v>
      </c>
      <c r="I54" s="19">
        <f t="shared" si="41"/>
        <v>0.34108796296296295</v>
      </c>
      <c r="J54" s="19">
        <f t="shared" si="41"/>
        <v>0.33726851851851852</v>
      </c>
      <c r="K54" s="19">
        <f t="shared" si="41"/>
        <v>0.36759259259259258</v>
      </c>
      <c r="M54" s="16" t="s">
        <v>9</v>
      </c>
      <c r="N54" s="19">
        <f t="shared" ref="N54:Q54" si="42">N31/86400</f>
        <v>0.25439814814814815</v>
      </c>
      <c r="O54" s="19">
        <f t="shared" si="42"/>
        <v>0.27326388888888886</v>
      </c>
      <c r="P54" s="19">
        <f t="shared" si="42"/>
        <v>0.24386574074074074</v>
      </c>
      <c r="Q54" s="19">
        <f t="shared" si="42"/>
        <v>0.25422453703703701</v>
      </c>
      <c r="S54" s="16" t="s">
        <v>31</v>
      </c>
      <c r="T54" s="19">
        <f t="shared" ref="T54:W54" si="43">T31/86400</f>
        <v>0.27407407407407408</v>
      </c>
      <c r="U54" s="19">
        <f t="shared" si="43"/>
        <v>0.2595486111111111</v>
      </c>
      <c r="V54" s="19">
        <f t="shared" si="43"/>
        <v>0.27141203703703703</v>
      </c>
      <c r="W54" s="19">
        <f t="shared" si="43"/>
        <v>0.28466435185185185</v>
      </c>
      <c r="Y54" s="16" t="s">
        <v>9</v>
      </c>
      <c r="Z54" s="19">
        <f t="shared" ref="Z54:AC54" si="44">Z31/86400</f>
        <v>1.3541666666666667E-2</v>
      </c>
      <c r="AA54" s="19">
        <f t="shared" si="44"/>
        <v>2.1990740740740742E-3</v>
      </c>
      <c r="AB54" s="19">
        <f t="shared" si="44"/>
        <v>3.0150462962962962E-2</v>
      </c>
      <c r="AC54" s="19">
        <f t="shared" si="44"/>
        <v>1.3831018518518519E-2</v>
      </c>
      <c r="AE54" s="16" t="s">
        <v>31</v>
      </c>
      <c r="AF54" s="19">
        <f t="shared" ref="AF54:AI54" si="45">AF31/86400</f>
        <v>2.4421296296296295E-2</v>
      </c>
      <c r="AG54" s="19">
        <f t="shared" si="45"/>
        <v>3.2349537037037038E-2</v>
      </c>
      <c r="AH54" s="19">
        <f t="shared" si="45"/>
        <v>2.5752314814814815E-2</v>
      </c>
      <c r="AI54" s="19">
        <f t="shared" si="45"/>
        <v>2.6157407407407407E-2</v>
      </c>
    </row>
    <row r="55" spans="1:35" ht="15.6" x14ac:dyDescent="0.3">
      <c r="A55" s="16" t="s">
        <v>10</v>
      </c>
      <c r="B55" s="19">
        <f t="shared" ref="B55:E55" si="46">B32/86400</f>
        <v>0.3034722222222222</v>
      </c>
      <c r="C55" s="19">
        <f t="shared" si="46"/>
        <v>0.28749999999999998</v>
      </c>
      <c r="D55" s="19">
        <f t="shared" si="46"/>
        <v>0.29074074074074074</v>
      </c>
      <c r="E55" s="19">
        <f t="shared" si="46"/>
        <v>0.29942129629629627</v>
      </c>
      <c r="G55" s="16" t="s">
        <v>20</v>
      </c>
      <c r="H55" s="19">
        <f t="shared" ref="H55:K55" si="47">H32/86400</f>
        <v>0.40462962962962962</v>
      </c>
      <c r="I55" s="19">
        <f t="shared" si="47"/>
        <v>0.37210648148148145</v>
      </c>
      <c r="J55" s="19">
        <f t="shared" si="47"/>
        <v>0.39537037037037037</v>
      </c>
      <c r="K55" s="19">
        <f t="shared" si="47"/>
        <v>0.39513888888888887</v>
      </c>
      <c r="M55" s="16" t="s">
        <v>10</v>
      </c>
      <c r="N55" s="19">
        <f t="shared" ref="N55:Q55" si="48">N32/86400</f>
        <v>0.27303240740740742</v>
      </c>
      <c r="O55" s="19">
        <f t="shared" si="48"/>
        <v>0.2492476851851852</v>
      </c>
      <c r="P55" s="19">
        <f t="shared" si="48"/>
        <v>0.26261574074074073</v>
      </c>
      <c r="Q55" s="19">
        <f t="shared" si="48"/>
        <v>0.2726851851851852</v>
      </c>
      <c r="S55" s="16" t="s">
        <v>20</v>
      </c>
      <c r="T55" s="19">
        <f t="shared" ref="T55:W55" si="49">T32/86400</f>
        <v>0.30011574074074077</v>
      </c>
      <c r="U55" s="19">
        <f t="shared" si="49"/>
        <v>0.22320601851851851</v>
      </c>
      <c r="V55" s="19">
        <f t="shared" si="49"/>
        <v>0.26082175925925927</v>
      </c>
      <c r="W55" s="19">
        <f t="shared" si="49"/>
        <v>0.26857638888888891</v>
      </c>
      <c r="Y55" s="16" t="s">
        <v>10</v>
      </c>
      <c r="Z55" s="19">
        <f t="shared" ref="Z55:AC55" si="50">Z32/86400</f>
        <v>1.6203703703703703E-3</v>
      </c>
      <c r="AA55" s="19">
        <f t="shared" si="50"/>
        <v>7.1759259259259259E-3</v>
      </c>
      <c r="AB55" s="19">
        <f t="shared" si="50"/>
        <v>6.1342592592592594E-3</v>
      </c>
      <c r="AC55" s="19">
        <f t="shared" si="50"/>
        <v>2.8935185185185184E-3</v>
      </c>
      <c r="AE55" s="16" t="s">
        <v>20</v>
      </c>
      <c r="AF55" s="19">
        <f t="shared" ref="AF55:AI55" si="51">AF32/86400</f>
        <v>2.4421296296296295E-2</v>
      </c>
      <c r="AG55" s="19">
        <f t="shared" si="51"/>
        <v>6.2037037037037036E-2</v>
      </c>
      <c r="AH55" s="19">
        <f t="shared" si="51"/>
        <v>5.1273148148148151E-2</v>
      </c>
      <c r="AI55" s="19">
        <f t="shared" si="51"/>
        <v>4.4733796296296299E-2</v>
      </c>
    </row>
    <row r="56" spans="1:35" ht="15.6" x14ac:dyDescent="0.3">
      <c r="A56" s="16" t="s">
        <v>11</v>
      </c>
      <c r="B56" s="19">
        <f t="shared" ref="B56:E56" si="52">B33/86400</f>
        <v>0.3212962962962963</v>
      </c>
      <c r="C56" s="19">
        <f t="shared" si="52"/>
        <v>0.35902777777777778</v>
      </c>
      <c r="D56" s="19">
        <f t="shared" si="52"/>
        <v>0.34652777777777777</v>
      </c>
      <c r="E56" s="19">
        <f t="shared" si="52"/>
        <v>0.35659722222222223</v>
      </c>
      <c r="G56" s="16" t="s">
        <v>21</v>
      </c>
      <c r="H56" s="19">
        <f t="shared" ref="H56:K56" si="53">H33/86400</f>
        <v>0.34189814814814817</v>
      </c>
      <c r="I56" s="19">
        <f t="shared" si="53"/>
        <v>0.30335648148148148</v>
      </c>
      <c r="J56" s="19">
        <f t="shared" si="53"/>
        <v>0.31469907407407405</v>
      </c>
      <c r="K56" s="19">
        <f t="shared" si="53"/>
        <v>0.29467592592592595</v>
      </c>
      <c r="M56" s="16" t="s">
        <v>11</v>
      </c>
      <c r="N56" s="19">
        <f t="shared" ref="N56:Q56" si="54">N33/86400</f>
        <v>0.28599537037037037</v>
      </c>
      <c r="O56" s="19">
        <f t="shared" si="54"/>
        <v>0.31302083333333336</v>
      </c>
      <c r="P56" s="19">
        <f t="shared" si="54"/>
        <v>0.30318287037037039</v>
      </c>
      <c r="Q56" s="19">
        <f t="shared" si="54"/>
        <v>0.29681712962962964</v>
      </c>
      <c r="S56" s="16" t="s">
        <v>21</v>
      </c>
      <c r="T56" s="19">
        <f t="shared" ref="T56:W56" si="55">T33/86400</f>
        <v>0.28680555555555554</v>
      </c>
      <c r="U56" s="19">
        <f t="shared" si="55"/>
        <v>0.26701388888888888</v>
      </c>
      <c r="V56" s="19">
        <f t="shared" si="55"/>
        <v>0.27274305555555556</v>
      </c>
      <c r="W56" s="19">
        <f t="shared" si="55"/>
        <v>0.25717592592592592</v>
      </c>
      <c r="Y56" s="16" t="s">
        <v>11</v>
      </c>
      <c r="Z56" s="19">
        <f t="shared" ref="Z56:AC56" si="56">Z33/86400</f>
        <v>4.5138888888888885E-3</v>
      </c>
      <c r="AA56" s="19">
        <f t="shared" si="56"/>
        <v>1.3831018518518519E-2</v>
      </c>
      <c r="AB56" s="19">
        <f t="shared" si="56"/>
        <v>1.2037037037037037E-2</v>
      </c>
      <c r="AC56" s="19">
        <f t="shared" si="56"/>
        <v>1.9675925925925927E-2</v>
      </c>
      <c r="AE56" s="16" t="s">
        <v>21</v>
      </c>
      <c r="AF56" s="19">
        <f t="shared" ref="AF56:AI56" si="57">AF33/86400</f>
        <v>1.6087962962962964E-2</v>
      </c>
      <c r="AG56" s="19">
        <f t="shared" si="57"/>
        <v>4.1666666666666666E-3</v>
      </c>
      <c r="AH56" s="19">
        <f t="shared" si="57"/>
        <v>1.3252314814814814E-2</v>
      </c>
      <c r="AI56" s="19">
        <f t="shared" si="57"/>
        <v>6.7129629629629631E-3</v>
      </c>
    </row>
    <row r="57" spans="1:35" ht="15.6" x14ac:dyDescent="0.3">
      <c r="A57" s="16" t="s">
        <v>12</v>
      </c>
      <c r="B57" s="19">
        <f t="shared" ref="B57:E57" si="58">B34/86400</f>
        <v>0.22476851851851851</v>
      </c>
      <c r="C57" s="19">
        <f t="shared" si="58"/>
        <v>0.27523148148148147</v>
      </c>
      <c r="D57" s="19">
        <f t="shared" si="58"/>
        <v>0.21967592592592591</v>
      </c>
      <c r="E57" s="19">
        <f t="shared" si="58"/>
        <v>0.26932870370370371</v>
      </c>
      <c r="G57" s="16" t="s">
        <v>32</v>
      </c>
      <c r="H57" s="19">
        <f t="shared" ref="H57:K57" si="59">H34/86400</f>
        <v>0.2949074074074074</v>
      </c>
      <c r="I57" s="19">
        <f t="shared" si="59"/>
        <v>0.3144675925925926</v>
      </c>
      <c r="J57" s="19">
        <f t="shared" si="59"/>
        <v>0.31793981481481481</v>
      </c>
      <c r="K57" s="19">
        <f t="shared" si="59"/>
        <v>0.29652777777777778</v>
      </c>
      <c r="M57" s="16" t="s">
        <v>12</v>
      </c>
      <c r="N57" s="19">
        <f t="shared" ref="N57:Q57" si="60">N34/86400</f>
        <v>0.20532407407407408</v>
      </c>
      <c r="O57" s="19">
        <f t="shared" si="60"/>
        <v>0.24895833333333334</v>
      </c>
      <c r="P57" s="19">
        <f t="shared" si="60"/>
        <v>0.20144675925925926</v>
      </c>
      <c r="Q57" s="19">
        <f t="shared" si="60"/>
        <v>0.24762731481481481</v>
      </c>
      <c r="S57" s="16" t="s">
        <v>32</v>
      </c>
      <c r="T57" s="19">
        <f t="shared" ref="T57:W57" si="61">T34/86400</f>
        <v>0.26921296296296299</v>
      </c>
      <c r="U57" s="19">
        <f t="shared" si="61"/>
        <v>0.27870370370370373</v>
      </c>
      <c r="V57" s="19">
        <f t="shared" si="61"/>
        <v>0.28559027777777779</v>
      </c>
      <c r="W57" s="19">
        <f t="shared" si="61"/>
        <v>0.265625</v>
      </c>
      <c r="Y57" s="16" t="s">
        <v>12</v>
      </c>
      <c r="Z57" s="19">
        <f t="shared" ref="Z57:AC57" si="62">Z34/86400</f>
        <v>2.5462962962962965E-3</v>
      </c>
      <c r="AA57" s="19">
        <f t="shared" si="62"/>
        <v>4.9189814814814816E-3</v>
      </c>
      <c r="AB57" s="19">
        <f t="shared" si="62"/>
        <v>4.5138888888888885E-3</v>
      </c>
      <c r="AC57" s="19">
        <f t="shared" si="62"/>
        <v>4.9768518518518521E-3</v>
      </c>
      <c r="AE57" s="16" t="s">
        <v>32</v>
      </c>
      <c r="AF57" s="19">
        <f t="shared" ref="AF57:AI57" si="63">AF34/86400</f>
        <v>2.3148148148148147E-3</v>
      </c>
      <c r="AG57" s="19">
        <f t="shared" si="63"/>
        <v>1.1574074074074073E-2</v>
      </c>
      <c r="AH57" s="19">
        <f t="shared" si="63"/>
        <v>5.5555555555555558E-3</v>
      </c>
      <c r="AI57" s="19">
        <f t="shared" si="63"/>
        <v>6.0185185185185185E-3</v>
      </c>
    </row>
    <row r="58" spans="1:35" ht="15.6" x14ac:dyDescent="0.3">
      <c r="A58" s="16" t="s">
        <v>13</v>
      </c>
      <c r="B58" s="19">
        <f t="shared" ref="B58:E58" si="64">B35/86400</f>
        <v>0.43703703703703706</v>
      </c>
      <c r="C58" s="19">
        <f t="shared" si="64"/>
        <v>0.40949074074074077</v>
      </c>
      <c r="D58" s="19">
        <f t="shared" si="64"/>
        <v>0.33541666666666664</v>
      </c>
      <c r="E58" s="19">
        <f t="shared" si="64"/>
        <v>0.33425925925925926</v>
      </c>
      <c r="G58" s="16" t="s">
        <v>22</v>
      </c>
      <c r="H58" s="19">
        <f t="shared" ref="H58:K58" si="65">H35/86400</f>
        <v>0.32453703703703701</v>
      </c>
      <c r="I58" s="19">
        <f t="shared" si="65"/>
        <v>0.3351851851851852</v>
      </c>
      <c r="J58" s="19">
        <f t="shared" si="65"/>
        <v>0.2988425925925926</v>
      </c>
      <c r="K58" s="19">
        <f t="shared" si="65"/>
        <v>0.3215277777777778</v>
      </c>
      <c r="M58" s="16" t="s">
        <v>13</v>
      </c>
      <c r="N58" s="19">
        <f t="shared" ref="N58:Q58" si="66">N35/86400</f>
        <v>0.38310185185185186</v>
      </c>
      <c r="O58" s="19">
        <f t="shared" si="66"/>
        <v>0.36284722222222221</v>
      </c>
      <c r="P58" s="19">
        <f t="shared" si="66"/>
        <v>0.30277777777777776</v>
      </c>
      <c r="Q58" s="19">
        <f t="shared" si="66"/>
        <v>0.29728009259259258</v>
      </c>
      <c r="S58" s="16" t="s">
        <v>22</v>
      </c>
      <c r="T58" s="19">
        <f t="shared" ref="T58:W58" si="67">T35/86400</f>
        <v>0.28865740740740742</v>
      </c>
      <c r="U58" s="19">
        <f t="shared" si="67"/>
        <v>0.29195601851851855</v>
      </c>
      <c r="V58" s="19">
        <f t="shared" si="67"/>
        <v>0.26076388888888891</v>
      </c>
      <c r="W58" s="19">
        <f t="shared" si="67"/>
        <v>0.2888310185185185</v>
      </c>
      <c r="Y58" s="16" t="s">
        <v>13</v>
      </c>
      <c r="Z58" s="19">
        <f t="shared" ref="Z58:AC58" si="68">Z35/86400</f>
        <v>1.3194444444444444E-2</v>
      </c>
      <c r="AA58" s="19">
        <f t="shared" si="68"/>
        <v>4.340277777777778E-3</v>
      </c>
      <c r="AB58" s="19">
        <f t="shared" si="68"/>
        <v>3.0671296296296297E-3</v>
      </c>
      <c r="AC58" s="19">
        <f t="shared" si="68"/>
        <v>1.0995370370370371E-3</v>
      </c>
      <c r="AE58" s="16" t="s">
        <v>22</v>
      </c>
      <c r="AF58" s="19">
        <f t="shared" ref="AF58:AI58" si="69">AF35/86400</f>
        <v>7.7546296296296295E-3</v>
      </c>
      <c r="AG58" s="19">
        <f t="shared" si="69"/>
        <v>9.2592592592592587E-3</v>
      </c>
      <c r="AH58" s="19">
        <f t="shared" si="69"/>
        <v>4.6296296296296294E-3</v>
      </c>
      <c r="AI58" s="19">
        <f t="shared" si="69"/>
        <v>1.5625000000000001E-3</v>
      </c>
    </row>
    <row r="59" spans="1:35" ht="15.6" x14ac:dyDescent="0.3">
      <c r="A59" s="16" t="s">
        <v>4</v>
      </c>
      <c r="B59" s="19">
        <f t="shared" ref="B59:E59" si="70">B36/86400</f>
        <v>0.38078703703703703</v>
      </c>
      <c r="C59" s="19">
        <f t="shared" si="70"/>
        <v>0.29895833333333333</v>
      </c>
      <c r="D59" s="19">
        <f t="shared" si="70"/>
        <v>0.33506944444444442</v>
      </c>
      <c r="E59" s="19">
        <f t="shared" si="70"/>
        <v>0.30497685185185186</v>
      </c>
      <c r="G59" s="16" t="s">
        <v>24</v>
      </c>
      <c r="H59" s="19">
        <f t="shared" ref="H59:K59" si="71">H36/86400</f>
        <v>0.23078703703703704</v>
      </c>
      <c r="I59" s="19">
        <f t="shared" si="71"/>
        <v>0.2653935185185185</v>
      </c>
      <c r="J59" s="19">
        <f t="shared" si="71"/>
        <v>0.27627314814814813</v>
      </c>
      <c r="K59" s="19">
        <f t="shared" si="71"/>
        <v>0.26215277777777779</v>
      </c>
      <c r="M59" s="16" t="s">
        <v>4</v>
      </c>
      <c r="N59" s="19">
        <f t="shared" ref="N59:Q59" si="72">N36/86400</f>
        <v>0.3212962962962963</v>
      </c>
      <c r="O59" s="19">
        <f t="shared" si="72"/>
        <v>0.24716435185185184</v>
      </c>
      <c r="P59" s="19">
        <f t="shared" si="72"/>
        <v>0.28096064814814814</v>
      </c>
      <c r="Q59" s="19">
        <f t="shared" si="72"/>
        <v>0.2509837962962963</v>
      </c>
      <c r="S59" s="16" t="s">
        <v>24</v>
      </c>
      <c r="T59" s="19">
        <f t="shared" ref="T59:W59" si="73">T36/86400</f>
        <v>0.18784722222222222</v>
      </c>
      <c r="U59" s="19">
        <f t="shared" si="73"/>
        <v>0.21487268518518518</v>
      </c>
      <c r="V59" s="19">
        <f t="shared" si="73"/>
        <v>0.22418981481481481</v>
      </c>
      <c r="W59" s="19">
        <f t="shared" si="73"/>
        <v>0.21180555555555555</v>
      </c>
      <c r="Y59" s="16" t="s">
        <v>4</v>
      </c>
      <c r="Z59" s="19">
        <f t="shared" ref="Z59:AC59" si="74">Z36/86400</f>
        <v>9.2592592592592587E-3</v>
      </c>
      <c r="AA59" s="19">
        <f t="shared" si="74"/>
        <v>1.4467592592592593E-2</v>
      </c>
      <c r="AB59" s="19">
        <f t="shared" si="74"/>
        <v>1.2210648148148148E-2</v>
      </c>
      <c r="AC59" s="19">
        <f t="shared" si="74"/>
        <v>1.712962962962963E-2</v>
      </c>
      <c r="AE59" s="16" t="s">
        <v>24</v>
      </c>
      <c r="AF59" s="19">
        <f t="shared" ref="AF59:AI59" si="75">AF36/86400</f>
        <v>3.7037037037037038E-3</v>
      </c>
      <c r="AG59" s="19">
        <f t="shared" si="75"/>
        <v>3.1250000000000002E-3</v>
      </c>
      <c r="AH59" s="19">
        <f t="shared" si="75"/>
        <v>4.3981481481481484E-3</v>
      </c>
      <c r="AI59" s="19">
        <f t="shared" si="75"/>
        <v>5.6712962962962967E-3</v>
      </c>
    </row>
    <row r="60" spans="1:35" ht="15.6" x14ac:dyDescent="0.3">
      <c r="A60" s="16" t="s">
        <v>5</v>
      </c>
      <c r="B60" s="19">
        <f t="shared" ref="B60:E60" si="76">B37/86400</f>
        <v>0.28356481481481483</v>
      </c>
      <c r="C60" s="19">
        <f t="shared" si="76"/>
        <v>0.26203703703703701</v>
      </c>
      <c r="D60" s="19">
        <f t="shared" si="76"/>
        <v>0.24097222222222223</v>
      </c>
      <c r="E60" s="19">
        <f t="shared" si="76"/>
        <v>0.28055555555555556</v>
      </c>
      <c r="G60" s="16" t="s">
        <v>25</v>
      </c>
      <c r="H60" s="19">
        <f t="shared" ref="H60:K60" si="77">H37/86400</f>
        <v>0.35925925925925928</v>
      </c>
      <c r="I60" s="19">
        <f t="shared" si="77"/>
        <v>0.33935185185185185</v>
      </c>
      <c r="J60" s="19">
        <f t="shared" si="77"/>
        <v>0.34016203703703701</v>
      </c>
      <c r="K60" s="19">
        <f t="shared" si="77"/>
        <v>0.33263888888888887</v>
      </c>
      <c r="M60" s="16" t="s">
        <v>5</v>
      </c>
      <c r="N60" s="19">
        <f t="shared" ref="N60:Q60" si="78">N37/86400</f>
        <v>0.22361111111111112</v>
      </c>
      <c r="O60" s="19">
        <f t="shared" si="78"/>
        <v>0.19288194444444445</v>
      </c>
      <c r="P60" s="19">
        <f t="shared" si="78"/>
        <v>0.16655092592592594</v>
      </c>
      <c r="Q60" s="19">
        <f t="shared" si="78"/>
        <v>0.17986111111111111</v>
      </c>
      <c r="S60" s="16" t="s">
        <v>25</v>
      </c>
      <c r="T60" s="19">
        <f t="shared" ref="T60:W60" si="79">T37/86400</f>
        <v>0.29143518518518519</v>
      </c>
      <c r="U60" s="19">
        <f t="shared" si="79"/>
        <v>0.27638888888888891</v>
      </c>
      <c r="V60" s="19">
        <f t="shared" si="79"/>
        <v>0.28582175925925923</v>
      </c>
      <c r="W60" s="19">
        <f t="shared" si="79"/>
        <v>0.26122685185185185</v>
      </c>
      <c r="Y60" s="16" t="s">
        <v>5</v>
      </c>
      <c r="Z60" s="19">
        <f t="shared" ref="Z60:AC60" si="80">Z37/86400</f>
        <v>1.2847222222222222E-2</v>
      </c>
      <c r="AA60" s="19">
        <f t="shared" si="80"/>
        <v>1.5625E-2</v>
      </c>
      <c r="AB60" s="19">
        <f t="shared" si="80"/>
        <v>1.7071759259259259E-2</v>
      </c>
      <c r="AC60" s="19">
        <f t="shared" si="80"/>
        <v>3.1712962962962964E-2</v>
      </c>
      <c r="AE60" s="16" t="s">
        <v>25</v>
      </c>
      <c r="AF60" s="19">
        <f t="shared" ref="AF60:AI60" si="81">AF37/86400</f>
        <v>7.8703703703703696E-3</v>
      </c>
      <c r="AG60" s="19">
        <f t="shared" si="81"/>
        <v>1.4293981481481482E-2</v>
      </c>
      <c r="AH60" s="19">
        <f t="shared" si="81"/>
        <v>9.2592592592592587E-3</v>
      </c>
      <c r="AI60" s="19">
        <f t="shared" si="81"/>
        <v>3.3854166666666664E-2</v>
      </c>
    </row>
    <row r="61" spans="1:35" ht="15.6" x14ac:dyDescent="0.3">
      <c r="A61" s="16" t="s">
        <v>6</v>
      </c>
      <c r="B61" s="19">
        <f t="shared" ref="B61:E61" si="82">B38/86400</f>
        <v>0.33750000000000002</v>
      </c>
      <c r="C61" s="19">
        <f t="shared" si="82"/>
        <v>0.36921296296296297</v>
      </c>
      <c r="D61" s="19">
        <f t="shared" si="82"/>
        <v>0.39166666666666666</v>
      </c>
      <c r="E61" s="19">
        <f t="shared" si="82"/>
        <v>0.33703703703703702</v>
      </c>
      <c r="G61" s="16" t="s">
        <v>26</v>
      </c>
      <c r="H61" s="19">
        <f t="shared" ref="H61:K61" si="83">H38/86400</f>
        <v>0.35</v>
      </c>
      <c r="I61" s="19">
        <f t="shared" si="83"/>
        <v>0.31944444444444442</v>
      </c>
      <c r="J61" s="19">
        <f t="shared" si="83"/>
        <v>0.31944444444444442</v>
      </c>
      <c r="K61" s="19">
        <f t="shared" si="83"/>
        <v>0.3125</v>
      </c>
      <c r="M61" s="16" t="s">
        <v>6</v>
      </c>
      <c r="N61" s="19">
        <f t="shared" ref="N61:Q61" si="84">N38/86400</f>
        <v>0.25798611111111114</v>
      </c>
      <c r="O61" s="19">
        <f t="shared" si="84"/>
        <v>0.25636574074074076</v>
      </c>
      <c r="P61" s="19">
        <f t="shared" si="84"/>
        <v>0.31238425925925928</v>
      </c>
      <c r="Q61" s="19">
        <f t="shared" si="84"/>
        <v>0.24450231481481483</v>
      </c>
      <c r="S61" s="16" t="s">
        <v>26</v>
      </c>
      <c r="T61" s="19">
        <f t="shared" ref="T61:W61" si="85">T38/86400</f>
        <v>0.3</v>
      </c>
      <c r="U61" s="19">
        <f t="shared" si="85"/>
        <v>0.26886574074074077</v>
      </c>
      <c r="V61" s="19">
        <f t="shared" si="85"/>
        <v>0.27789351851851851</v>
      </c>
      <c r="W61" s="19">
        <f t="shared" si="85"/>
        <v>0.28379629629629627</v>
      </c>
      <c r="Y61" s="16" t="s">
        <v>6</v>
      </c>
      <c r="Z61" s="19">
        <f t="shared" ref="Z61:AC61" si="86">Z38/86400</f>
        <v>2.060185185185185E-2</v>
      </c>
      <c r="AA61" s="19">
        <f t="shared" si="86"/>
        <v>3.5648148148148151E-2</v>
      </c>
      <c r="AB61" s="19">
        <f t="shared" si="86"/>
        <v>1.0416666666666666E-2</v>
      </c>
      <c r="AC61" s="19">
        <f t="shared" si="86"/>
        <v>1.7187500000000001E-2</v>
      </c>
      <c r="AE61" s="16" t="s">
        <v>26</v>
      </c>
      <c r="AF61" s="19">
        <f t="shared" ref="AF61:AI61" si="87">AF38/86400</f>
        <v>1.1111111111111112E-2</v>
      </c>
      <c r="AG61" s="19">
        <f t="shared" si="87"/>
        <v>1.7013888888888887E-2</v>
      </c>
      <c r="AH61" s="19">
        <f t="shared" si="87"/>
        <v>6.3657407407407404E-3</v>
      </c>
      <c r="AI61" s="19">
        <f t="shared" si="87"/>
        <v>5.324074074074074E-3</v>
      </c>
    </row>
    <row r="62" spans="1:35" ht="15.6" x14ac:dyDescent="0.3">
      <c r="A62" s="16" t="s">
        <v>7</v>
      </c>
      <c r="B62" s="19">
        <f t="shared" ref="B62:E62" si="88">B39/86400</f>
        <v>0.34745370370370371</v>
      </c>
      <c r="C62" s="19">
        <f t="shared" si="88"/>
        <v>0.31354166666666666</v>
      </c>
      <c r="D62" s="19">
        <f t="shared" si="88"/>
        <v>0.29502314814814817</v>
      </c>
      <c r="E62" s="19">
        <f t="shared" si="88"/>
        <v>0.30277777777777776</v>
      </c>
      <c r="G62" s="16" t="s">
        <v>27</v>
      </c>
      <c r="H62" s="19">
        <f t="shared" ref="H62:K62" si="89">H39/86400</f>
        <v>0.34907407407407409</v>
      </c>
      <c r="I62" s="19">
        <f t="shared" si="89"/>
        <v>0.37118055555555557</v>
      </c>
      <c r="J62" s="19">
        <f t="shared" si="89"/>
        <v>0.36226851851851855</v>
      </c>
      <c r="K62" s="19">
        <f t="shared" si="89"/>
        <v>0.34756944444444443</v>
      </c>
      <c r="M62" s="16" t="s">
        <v>7</v>
      </c>
      <c r="N62" s="19">
        <f t="shared" ref="N62:Q63" si="90">N39/86400</f>
        <v>0.28900462962962964</v>
      </c>
      <c r="O62" s="19">
        <f t="shared" si="90"/>
        <v>0.26556712962962964</v>
      </c>
      <c r="P62" s="19">
        <f t="shared" si="90"/>
        <v>0.26325231481481481</v>
      </c>
      <c r="Q62" s="19">
        <f t="shared" si="90"/>
        <v>0.25810185185185186</v>
      </c>
      <c r="S62" s="16" t="s">
        <v>27</v>
      </c>
      <c r="T62" s="19">
        <f t="shared" ref="T62:W62" si="91">T39/86400</f>
        <v>0.28935185185185186</v>
      </c>
      <c r="U62" s="19">
        <f t="shared" si="91"/>
        <v>0.31973379629629628</v>
      </c>
      <c r="V62" s="19">
        <f t="shared" si="91"/>
        <v>0.30312499999999998</v>
      </c>
      <c r="W62" s="19">
        <f t="shared" si="91"/>
        <v>0.29317129629629629</v>
      </c>
      <c r="Y62" s="16" t="s">
        <v>7</v>
      </c>
      <c r="Z62" s="19">
        <f t="shared" ref="Z62:AC62" si="92">Z39/86400</f>
        <v>2.4537037037037038E-2</v>
      </c>
      <c r="AA62" s="19">
        <f t="shared" si="92"/>
        <v>1.3252314814814814E-2</v>
      </c>
      <c r="AB62" s="19">
        <f t="shared" si="92"/>
        <v>4.2824074074074075E-3</v>
      </c>
      <c r="AC62" s="19">
        <f t="shared" si="92"/>
        <v>1.9270833333333334E-2</v>
      </c>
      <c r="AE62" s="16" t="s">
        <v>27</v>
      </c>
      <c r="AF62" s="19">
        <f t="shared" ref="AF62:AI62" si="93">AF39/86400</f>
        <v>1.6435185185185185E-2</v>
      </c>
      <c r="AG62" s="19">
        <f t="shared" si="93"/>
        <v>2.3495370370370371E-2</v>
      </c>
      <c r="AH62" s="19">
        <f t="shared" si="93"/>
        <v>2.8182870370370372E-2</v>
      </c>
      <c r="AI62" s="19">
        <f t="shared" si="93"/>
        <v>2.0486111111111111E-2</v>
      </c>
    </row>
    <row r="63" spans="1:35" ht="15.6" x14ac:dyDescent="0.3">
      <c r="A63" s="16" t="s">
        <v>8</v>
      </c>
      <c r="B63" s="19">
        <f t="shared" ref="B63:E63" si="94">B40/86400</f>
        <v>0.35949074074074072</v>
      </c>
      <c r="C63" s="19">
        <f t="shared" si="94"/>
        <v>0.31550925925925927</v>
      </c>
      <c r="D63" s="19">
        <f t="shared" si="94"/>
        <v>0.34328703703703706</v>
      </c>
      <c r="E63" s="19">
        <f t="shared" si="94"/>
        <v>0.36180555555555555</v>
      </c>
      <c r="G63" s="21"/>
      <c r="H63" s="9"/>
      <c r="I63" s="9"/>
      <c r="J63" s="9"/>
      <c r="K63" s="9"/>
      <c r="M63" s="16" t="s">
        <v>8</v>
      </c>
      <c r="N63" s="19">
        <f t="shared" si="90"/>
        <v>0.29826388888888888</v>
      </c>
      <c r="O63" s="19">
        <f t="shared" si="90"/>
        <v>0.26776620370370369</v>
      </c>
      <c r="P63" s="19">
        <f t="shared" si="90"/>
        <v>0.27164351851851853</v>
      </c>
      <c r="Q63" s="19">
        <f t="shared" si="90"/>
        <v>0.30723379629629627</v>
      </c>
      <c r="S63" s="9"/>
      <c r="T63" s="9"/>
      <c r="U63" s="9"/>
      <c r="V63" s="9"/>
      <c r="W63" s="9"/>
      <c r="Y63" s="16" t="s">
        <v>8</v>
      </c>
      <c r="Z63" s="19">
        <f t="shared" ref="Z63:AC63" si="95">Z40/86400</f>
        <v>2.2569444444444444E-2</v>
      </c>
      <c r="AA63" s="19">
        <f t="shared" si="95"/>
        <v>1.695601851851852E-2</v>
      </c>
      <c r="AB63" s="19">
        <f t="shared" si="95"/>
        <v>1.9849537037037037E-2</v>
      </c>
      <c r="AC63" s="19">
        <f t="shared" si="95"/>
        <v>2.5115740740740741E-2</v>
      </c>
      <c r="AE63" s="9"/>
      <c r="AF63" s="9"/>
      <c r="AG63" s="9"/>
      <c r="AH63" s="9"/>
      <c r="AI63" s="9"/>
    </row>
    <row r="64" spans="1:35" x14ac:dyDescent="0.3">
      <c r="A64" s="9"/>
      <c r="B64" s="9"/>
      <c r="C64" s="9"/>
      <c r="D64" s="9"/>
      <c r="E64" s="9"/>
      <c r="G64" s="9"/>
      <c r="H64" s="9"/>
      <c r="I64" s="9"/>
      <c r="J64" s="9"/>
      <c r="K64" s="9"/>
      <c r="M64" s="9"/>
      <c r="N64" s="9"/>
      <c r="O64" s="9"/>
      <c r="P64" s="9"/>
      <c r="Q64" s="9"/>
      <c r="S64" s="9"/>
      <c r="T64" s="9"/>
      <c r="U64" s="9"/>
      <c r="V64" s="9"/>
      <c r="W64" s="9"/>
      <c r="Y64" s="9"/>
      <c r="Z64" s="9"/>
      <c r="AA64" s="9"/>
      <c r="AB64" s="9"/>
      <c r="AC64" s="9"/>
      <c r="AE64" s="9"/>
      <c r="AF64" s="9"/>
      <c r="AG64" s="9"/>
      <c r="AH64" s="9"/>
      <c r="AI64" s="9"/>
    </row>
    <row r="65" spans="1:35" x14ac:dyDescent="0.3">
      <c r="A65" s="5" t="s">
        <v>1</v>
      </c>
      <c r="B65" s="20">
        <f>AVERAGE(B49:B63)</f>
        <v>0.33716049382716051</v>
      </c>
      <c r="C65" s="20">
        <f t="shared" ref="C65:E65" si="96">AVERAGE(C49:C63)</f>
        <v>0.32599537037037035</v>
      </c>
      <c r="D65" s="20">
        <f t="shared" si="96"/>
        <v>0.31473765432098766</v>
      </c>
      <c r="E65" s="20">
        <f t="shared" si="96"/>
        <v>0.3227546296296297</v>
      </c>
      <c r="G65" s="5" t="s">
        <v>1</v>
      </c>
      <c r="H65" s="20">
        <f>AVERAGE(H49:H62)</f>
        <v>0.33745039682539674</v>
      </c>
      <c r="I65" s="20">
        <f>AVERAGE(I49:I62)</f>
        <v>0.33096064814814807</v>
      </c>
      <c r="J65" s="20">
        <f>AVERAGE(J49:J62)</f>
        <v>0.33697916666666666</v>
      </c>
      <c r="K65" s="20">
        <f>AVERAGE(K49:K62)</f>
        <v>0.32700892857142866</v>
      </c>
      <c r="M65" s="5" t="s">
        <v>1</v>
      </c>
      <c r="N65" s="20">
        <f>AVERAGE(N49:N63)</f>
        <v>0.27889660493827156</v>
      </c>
      <c r="O65" s="20">
        <f t="shared" ref="O65:Q65" si="97">AVERAGE(O49:O63)</f>
        <v>0.27011574074074074</v>
      </c>
      <c r="P65" s="20">
        <f t="shared" si="97"/>
        <v>0.25964506172839502</v>
      </c>
      <c r="Q65" s="20">
        <f t="shared" si="97"/>
        <v>0.26509645061728399</v>
      </c>
      <c r="S65" s="5" t="s">
        <v>1</v>
      </c>
      <c r="T65" s="20">
        <f>AVERAGE(T49:T62)</f>
        <v>0.27976190476190477</v>
      </c>
      <c r="U65" s="20">
        <f>AVERAGE(U49:U62)</f>
        <v>0.27003968253968258</v>
      </c>
      <c r="V65" s="20">
        <f>AVERAGE(V49:V62)</f>
        <v>0.27727347883597886</v>
      </c>
      <c r="W65" s="20">
        <f>AVERAGE(W49:W62)</f>
        <v>0.26930803571428569</v>
      </c>
      <c r="Y65" s="5" t="s">
        <v>1</v>
      </c>
      <c r="Z65" s="20">
        <f>AVERAGE(Z49:Z62)</f>
        <v>1.2640542328042329E-2</v>
      </c>
      <c r="AA65" s="20">
        <f>AVERAGE(AA49:AA62)</f>
        <v>1.0887896825396827E-2</v>
      </c>
      <c r="AB65" s="20">
        <f>AVERAGE(AB49:AB62)</f>
        <v>1.0503472222222221E-2</v>
      </c>
      <c r="AC65" s="20">
        <f>AVERAGE(AC49:AC62)</f>
        <v>1.1987433862433863E-2</v>
      </c>
      <c r="AE65" s="5" t="s">
        <v>1</v>
      </c>
      <c r="AF65" s="20">
        <f>AVERAGE(AF49:AF62)</f>
        <v>1.3368055555555558E-2</v>
      </c>
      <c r="AG65" s="20">
        <f>AVERAGE(AG49:AG62)</f>
        <v>1.7439649470899467E-2</v>
      </c>
      <c r="AH65" s="20">
        <f>AVERAGE(AH49:AH62)</f>
        <v>1.7075892857142855E-2</v>
      </c>
      <c r="AI65" s="20">
        <f>AVERAGE(AI49:AI62)</f>
        <v>1.6373181216931213E-2</v>
      </c>
    </row>
    <row r="66" spans="1:35" x14ac:dyDescent="0.3">
      <c r="A66" s="5" t="s">
        <v>2</v>
      </c>
      <c r="B66" s="20">
        <f>_xlfn.STDEV.S(B49:B63)</f>
        <v>5.3489889390729281E-2</v>
      </c>
      <c r="C66" s="20">
        <f t="shared" ref="C66:D66" si="98">_xlfn.STDEV.S(C49:C63)</f>
        <v>3.8457283652857312E-2</v>
      </c>
      <c r="D66" s="20">
        <f t="shared" si="98"/>
        <v>4.2248080715645862E-2</v>
      </c>
      <c r="E66" s="20">
        <f>_xlfn.STDEV.S(E49:E63)</f>
        <v>2.7681394181349343E-2</v>
      </c>
      <c r="G66" s="5" t="s">
        <v>2</v>
      </c>
      <c r="H66" s="20">
        <f>_xlfn.STDEV.S(H49:H62)</f>
        <v>4.0293143351822949E-2</v>
      </c>
      <c r="I66" s="20">
        <f>_xlfn.STDEV.S(I49:I62)</f>
        <v>2.8896475174902667E-2</v>
      </c>
      <c r="J66" s="20">
        <f>_xlfn.STDEV.S(J49:J62)</f>
        <v>3.3911923088886096E-2</v>
      </c>
      <c r="K66" s="20">
        <f>_xlfn.STDEV.S(K49:K62)</f>
        <v>3.319335938498276E-2</v>
      </c>
      <c r="M66" s="5" t="s">
        <v>2</v>
      </c>
      <c r="N66" s="20">
        <f>_xlfn.STDEV.S(N49:N63)</f>
        <v>4.4815322686497967E-2</v>
      </c>
      <c r="O66" s="20">
        <f t="shared" ref="O66:P66" si="99">_xlfn.STDEV.S(O49:O63)</f>
        <v>3.6386310031957747E-2</v>
      </c>
      <c r="P66" s="20">
        <f t="shared" si="99"/>
        <v>3.7963408246302538E-2</v>
      </c>
      <c r="Q66" s="20">
        <f>_xlfn.STDEV.S(Q49:Q63)</f>
        <v>3.0952061951213541E-2</v>
      </c>
      <c r="S66" s="5" t="s">
        <v>2</v>
      </c>
      <c r="T66" s="20">
        <f>_xlfn.STDEV.S(T49:T62)</f>
        <v>2.952161639601493E-2</v>
      </c>
      <c r="U66" s="20">
        <f>_xlfn.STDEV.S(U49:U62)</f>
        <v>2.656174282103535E-2</v>
      </c>
      <c r="V66" s="20">
        <f>_xlfn.STDEV.S(V49:V62)</f>
        <v>2.2350258227329577E-2</v>
      </c>
      <c r="W66" s="20">
        <f>_xlfn.STDEV.S(W49:W62)</f>
        <v>2.1833750044810935E-2</v>
      </c>
      <c r="Y66" s="5" t="s">
        <v>2</v>
      </c>
      <c r="Z66" s="20">
        <f>_xlfn.STDEV.S(Z49:Z62)</f>
        <v>9.2093986231585028E-3</v>
      </c>
      <c r="AA66" s="20">
        <f>_xlfn.STDEV.S(AA49:AA62)</f>
        <v>8.2558702185386666E-3</v>
      </c>
      <c r="AB66" s="20">
        <f>_xlfn.STDEV.S(AB49:AB62)</f>
        <v>8.2246979208314072E-3</v>
      </c>
      <c r="AC66" s="20">
        <f>_xlfn.STDEV.S(AC49:AC62)</f>
        <v>9.2047299572317991E-3</v>
      </c>
      <c r="AE66" s="5" t="s">
        <v>2</v>
      </c>
      <c r="AF66" s="20">
        <f>_xlfn.STDEV.S(AF49:AF62)</f>
        <v>8.9299697941350089E-3</v>
      </c>
      <c r="AG66" s="20">
        <f>_xlfn.STDEV.S(AG49:AG62)</f>
        <v>1.5691559313435244E-2</v>
      </c>
      <c r="AH66" s="20">
        <f>_xlfn.STDEV.S(AH49:AH62)</f>
        <v>1.375889696340069E-2</v>
      </c>
      <c r="AI66" s="20">
        <f>_xlfn.STDEV.S(AI49:AI62)</f>
        <v>1.5136724624069012E-2</v>
      </c>
    </row>
  </sheetData>
  <mergeCells count="18">
    <mergeCell ref="B1:E1"/>
    <mergeCell ref="H1:K1"/>
    <mergeCell ref="B47:E47"/>
    <mergeCell ref="AF1:AI1"/>
    <mergeCell ref="Z1:AC1"/>
    <mergeCell ref="H47:K47"/>
    <mergeCell ref="N47:Q47"/>
    <mergeCell ref="T47:W47"/>
    <mergeCell ref="Z47:AC47"/>
    <mergeCell ref="AF47:AI47"/>
    <mergeCell ref="N1:Q1"/>
    <mergeCell ref="T1:W1"/>
    <mergeCell ref="Z24:AC24"/>
    <mergeCell ref="AF24:AI24"/>
    <mergeCell ref="B24:E24"/>
    <mergeCell ref="H24:K24"/>
    <mergeCell ref="N24:Q24"/>
    <mergeCell ref="T24:W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3AC46-D9F9-4D11-8FCF-62DC34029444}">
  <dimension ref="A1:AH29"/>
  <sheetViews>
    <sheetView workbookViewId="0">
      <selection activeCell="P25" sqref="P25"/>
    </sheetView>
  </sheetViews>
  <sheetFormatPr baseColWidth="10" defaultRowHeight="14.4" x14ac:dyDescent="0.3"/>
  <sheetData>
    <row r="1" spans="1:34" ht="15.6" x14ac:dyDescent="0.3">
      <c r="A1" s="9"/>
      <c r="B1" s="39" t="s">
        <v>3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S1" s="21"/>
      <c r="T1" s="44" t="s">
        <v>38</v>
      </c>
      <c r="U1" s="44"/>
      <c r="V1" s="44" t="s">
        <v>64</v>
      </c>
      <c r="W1" s="44"/>
      <c r="X1" s="44" t="s">
        <v>65</v>
      </c>
      <c r="Y1" s="44"/>
      <c r="Z1" s="44" t="s">
        <v>39</v>
      </c>
      <c r="AA1" s="44"/>
      <c r="AB1" s="44" t="s">
        <v>66</v>
      </c>
      <c r="AC1" s="44"/>
      <c r="AD1" s="44" t="s">
        <v>62</v>
      </c>
      <c r="AE1" s="44"/>
      <c r="AF1" s="39" t="s">
        <v>67</v>
      </c>
      <c r="AG1" s="39"/>
      <c r="AH1" s="21" t="s">
        <v>63</v>
      </c>
    </row>
    <row r="2" spans="1:34" ht="15.6" x14ac:dyDescent="0.3">
      <c r="A2" s="15"/>
      <c r="B2" s="44" t="s">
        <v>38</v>
      </c>
      <c r="C2" s="44"/>
      <c r="D2" s="44" t="s">
        <v>64</v>
      </c>
      <c r="E2" s="44"/>
      <c r="F2" s="44" t="s">
        <v>65</v>
      </c>
      <c r="G2" s="44"/>
      <c r="H2" s="44" t="s">
        <v>39</v>
      </c>
      <c r="I2" s="44"/>
      <c r="J2" s="44" t="s">
        <v>66</v>
      </c>
      <c r="K2" s="44"/>
      <c r="L2" s="44" t="s">
        <v>62</v>
      </c>
      <c r="M2" s="44"/>
      <c r="N2" s="39" t="s">
        <v>67</v>
      </c>
      <c r="O2" s="39"/>
      <c r="P2" s="21" t="s">
        <v>63</v>
      </c>
      <c r="Q2" s="24"/>
      <c r="S2" s="21"/>
      <c r="T2" s="16" t="s">
        <v>44</v>
      </c>
      <c r="U2" s="16" t="s">
        <v>45</v>
      </c>
      <c r="V2" s="16" t="s">
        <v>44</v>
      </c>
      <c r="W2" s="16" t="s">
        <v>45</v>
      </c>
      <c r="X2" s="16" t="s">
        <v>44</v>
      </c>
      <c r="Y2" s="16" t="s">
        <v>45</v>
      </c>
      <c r="Z2" s="16" t="s">
        <v>44</v>
      </c>
      <c r="AA2" s="16" t="s">
        <v>45</v>
      </c>
      <c r="AB2" s="16" t="s">
        <v>44</v>
      </c>
      <c r="AC2" s="16" t="s">
        <v>45</v>
      </c>
      <c r="AD2" s="16" t="s">
        <v>44</v>
      </c>
      <c r="AE2" s="16" t="s">
        <v>45</v>
      </c>
      <c r="AF2" s="16" t="s">
        <v>44</v>
      </c>
      <c r="AG2" s="16" t="s">
        <v>45</v>
      </c>
      <c r="AH2" s="16" t="s">
        <v>45</v>
      </c>
    </row>
    <row r="3" spans="1:34" ht="15.6" x14ac:dyDescent="0.3">
      <c r="A3" s="15"/>
      <c r="B3" s="16" t="s">
        <v>44</v>
      </c>
      <c r="C3" s="16" t="s">
        <v>45</v>
      </c>
      <c r="D3" s="16" t="s">
        <v>44</v>
      </c>
      <c r="E3" s="16" t="s">
        <v>45</v>
      </c>
      <c r="F3" s="16" t="s">
        <v>44</v>
      </c>
      <c r="G3" s="16" t="s">
        <v>45</v>
      </c>
      <c r="H3" s="16" t="s">
        <v>44</v>
      </c>
      <c r="I3" s="16" t="s">
        <v>45</v>
      </c>
      <c r="J3" s="16" t="s">
        <v>44</v>
      </c>
      <c r="K3" s="16" t="s">
        <v>45</v>
      </c>
      <c r="L3" s="16" t="s">
        <v>44</v>
      </c>
      <c r="M3" s="16" t="s">
        <v>45</v>
      </c>
      <c r="N3" s="16" t="s">
        <v>44</v>
      </c>
      <c r="O3" s="16" t="s">
        <v>45</v>
      </c>
      <c r="P3" s="16" t="s">
        <v>45</v>
      </c>
      <c r="S3" s="16" t="s">
        <v>28</v>
      </c>
      <c r="T3" s="10">
        <v>18</v>
      </c>
      <c r="U3" s="11">
        <v>18</v>
      </c>
      <c r="V3" s="25">
        <v>9</v>
      </c>
      <c r="W3" s="10">
        <v>10</v>
      </c>
      <c r="X3" s="25">
        <v>6</v>
      </c>
      <c r="Y3" s="10">
        <v>5</v>
      </c>
      <c r="Z3" s="10">
        <v>20</v>
      </c>
      <c r="AA3" s="11">
        <v>13</v>
      </c>
      <c r="AB3" s="10">
        <v>21</v>
      </c>
      <c r="AC3" s="10">
        <v>24</v>
      </c>
      <c r="AD3" s="10">
        <v>22</v>
      </c>
      <c r="AE3" s="10">
        <v>27</v>
      </c>
      <c r="AF3" s="4">
        <v>5.0999999999999996</v>
      </c>
      <c r="AG3" s="4">
        <v>0</v>
      </c>
      <c r="AH3" s="10">
        <v>29</v>
      </c>
    </row>
    <row r="4" spans="1:34" ht="15.6" x14ac:dyDescent="0.3">
      <c r="A4" s="16" t="s">
        <v>14</v>
      </c>
      <c r="B4" s="10">
        <v>24</v>
      </c>
      <c r="C4" s="11">
        <v>20</v>
      </c>
      <c r="D4" s="25">
        <v>11</v>
      </c>
      <c r="E4" s="10">
        <v>9</v>
      </c>
      <c r="F4" s="25">
        <v>6</v>
      </c>
      <c r="G4" s="10">
        <v>6</v>
      </c>
      <c r="H4" s="10">
        <v>18</v>
      </c>
      <c r="I4" s="11">
        <v>14</v>
      </c>
      <c r="J4" s="10">
        <v>17</v>
      </c>
      <c r="K4" s="10">
        <v>20</v>
      </c>
      <c r="L4" s="10">
        <v>32</v>
      </c>
      <c r="M4" s="10">
        <v>31</v>
      </c>
      <c r="N4" s="4">
        <v>1.5</v>
      </c>
      <c r="O4" s="4">
        <v>2</v>
      </c>
      <c r="P4" s="10">
        <v>26</v>
      </c>
      <c r="S4" s="16" t="s">
        <v>30</v>
      </c>
      <c r="T4" s="10">
        <v>30</v>
      </c>
      <c r="U4" s="11">
        <v>12</v>
      </c>
      <c r="V4" s="25">
        <v>11</v>
      </c>
      <c r="W4" s="10">
        <v>9</v>
      </c>
      <c r="X4" s="25">
        <v>10</v>
      </c>
      <c r="Y4" s="10">
        <v>7</v>
      </c>
      <c r="Z4" s="10">
        <v>20</v>
      </c>
      <c r="AA4" s="11">
        <v>11</v>
      </c>
      <c r="AB4" s="10">
        <v>17</v>
      </c>
      <c r="AC4" s="10">
        <v>20</v>
      </c>
      <c r="AD4" s="10">
        <v>32</v>
      </c>
      <c r="AE4" s="10">
        <v>24</v>
      </c>
      <c r="AF4" s="4">
        <v>0</v>
      </c>
      <c r="AG4" s="4">
        <v>0</v>
      </c>
      <c r="AH4" s="10">
        <v>27</v>
      </c>
    </row>
    <row r="5" spans="1:34" ht="15.6" x14ac:dyDescent="0.3">
      <c r="A5" s="16" t="s">
        <v>15</v>
      </c>
      <c r="B5" s="10">
        <v>18</v>
      </c>
      <c r="C5" s="11">
        <v>13</v>
      </c>
      <c r="D5" s="25">
        <v>7</v>
      </c>
      <c r="E5" s="10">
        <v>8</v>
      </c>
      <c r="F5" s="25">
        <v>3</v>
      </c>
      <c r="G5" s="10">
        <v>2</v>
      </c>
      <c r="H5" s="10">
        <v>20</v>
      </c>
      <c r="I5" s="11">
        <v>20</v>
      </c>
      <c r="J5" s="10">
        <v>15</v>
      </c>
      <c r="K5" s="10">
        <v>17</v>
      </c>
      <c r="L5" s="10">
        <v>27</v>
      </c>
      <c r="M5" s="10">
        <v>26</v>
      </c>
      <c r="N5" s="4">
        <v>0.8</v>
      </c>
      <c r="O5" s="4">
        <v>1.3</v>
      </c>
      <c r="P5" s="10">
        <v>22</v>
      </c>
      <c r="S5" s="16" t="s">
        <v>19</v>
      </c>
      <c r="T5" s="10">
        <v>28</v>
      </c>
      <c r="U5" s="11">
        <v>14</v>
      </c>
      <c r="V5" s="25">
        <v>15</v>
      </c>
      <c r="W5" s="10">
        <v>8</v>
      </c>
      <c r="X5" s="25">
        <v>10</v>
      </c>
      <c r="Y5" s="10">
        <v>3</v>
      </c>
      <c r="Z5" s="10">
        <v>21</v>
      </c>
      <c r="AA5" s="11">
        <v>8</v>
      </c>
      <c r="AB5" s="10">
        <v>13</v>
      </c>
      <c r="AC5" s="10">
        <v>18</v>
      </c>
      <c r="AD5" s="10">
        <v>27</v>
      </c>
      <c r="AE5" s="10">
        <v>28</v>
      </c>
      <c r="AF5" s="4">
        <v>5</v>
      </c>
      <c r="AG5" s="4">
        <v>5.0999999999999996</v>
      </c>
      <c r="AH5" s="10">
        <v>29</v>
      </c>
    </row>
    <row r="6" spans="1:34" ht="15.6" x14ac:dyDescent="0.3">
      <c r="A6" s="16" t="s">
        <v>16</v>
      </c>
      <c r="B6" s="10">
        <v>20</v>
      </c>
      <c r="C6" s="11">
        <v>18</v>
      </c>
      <c r="D6" s="25">
        <v>12</v>
      </c>
      <c r="E6" s="10">
        <v>8</v>
      </c>
      <c r="F6" s="25">
        <v>7</v>
      </c>
      <c r="G6" s="10">
        <v>3</v>
      </c>
      <c r="H6" s="10">
        <v>16</v>
      </c>
      <c r="I6" s="11">
        <v>12</v>
      </c>
      <c r="J6" s="10">
        <v>16</v>
      </c>
      <c r="K6" s="10">
        <v>23</v>
      </c>
      <c r="L6" s="10">
        <v>33</v>
      </c>
      <c r="M6" s="10">
        <v>29</v>
      </c>
      <c r="N6" s="4">
        <v>7.3</v>
      </c>
      <c r="O6" s="4">
        <v>4.5</v>
      </c>
      <c r="P6" s="10">
        <v>23</v>
      </c>
      <c r="S6" s="16" t="s">
        <v>23</v>
      </c>
      <c r="T6" s="10">
        <v>16</v>
      </c>
      <c r="U6" s="11">
        <v>7</v>
      </c>
      <c r="V6" s="25">
        <v>17</v>
      </c>
      <c r="W6" s="10">
        <v>13</v>
      </c>
      <c r="X6" s="25">
        <v>10</v>
      </c>
      <c r="Y6" s="10">
        <v>6</v>
      </c>
      <c r="Z6" s="10">
        <v>20</v>
      </c>
      <c r="AA6" s="11">
        <v>6</v>
      </c>
      <c r="AB6" s="10">
        <v>15</v>
      </c>
      <c r="AC6" s="10">
        <v>25</v>
      </c>
      <c r="AD6" s="10">
        <v>26</v>
      </c>
      <c r="AE6" s="10">
        <v>19</v>
      </c>
      <c r="AF6" s="4">
        <v>7.9</v>
      </c>
      <c r="AG6" s="4">
        <v>1</v>
      </c>
      <c r="AH6" s="10">
        <v>30</v>
      </c>
    </row>
    <row r="7" spans="1:34" ht="15.6" x14ac:dyDescent="0.3">
      <c r="A7" s="16" t="s">
        <v>17</v>
      </c>
      <c r="B7" s="10">
        <v>23</v>
      </c>
      <c r="C7" s="11">
        <v>25</v>
      </c>
      <c r="D7" s="25">
        <v>13</v>
      </c>
      <c r="E7" s="10">
        <v>13</v>
      </c>
      <c r="F7" s="25">
        <v>9</v>
      </c>
      <c r="G7" s="10">
        <v>9</v>
      </c>
      <c r="H7" s="10">
        <v>16</v>
      </c>
      <c r="I7" s="11">
        <v>10</v>
      </c>
      <c r="J7" s="10">
        <v>19</v>
      </c>
      <c r="K7" s="10">
        <v>25</v>
      </c>
      <c r="L7" s="10">
        <v>33</v>
      </c>
      <c r="M7" s="10">
        <v>29</v>
      </c>
      <c r="N7" s="4">
        <v>6.9</v>
      </c>
      <c r="O7" s="4">
        <v>3.2</v>
      </c>
      <c r="P7" s="10">
        <v>25</v>
      </c>
      <c r="S7" s="16" t="s">
        <v>29</v>
      </c>
      <c r="T7" s="10">
        <v>19</v>
      </c>
      <c r="U7" s="11">
        <v>12</v>
      </c>
      <c r="V7" s="25">
        <v>9</v>
      </c>
      <c r="W7" s="10">
        <v>5</v>
      </c>
      <c r="X7" s="25">
        <v>5</v>
      </c>
      <c r="Y7" s="10">
        <v>3</v>
      </c>
      <c r="Z7" s="10">
        <v>21</v>
      </c>
      <c r="AA7" s="11">
        <v>11</v>
      </c>
      <c r="AB7" s="10">
        <v>19</v>
      </c>
      <c r="AC7" s="10">
        <v>25</v>
      </c>
      <c r="AD7" s="10">
        <v>23</v>
      </c>
      <c r="AE7" s="10">
        <v>25</v>
      </c>
      <c r="AF7" s="4">
        <v>4.9000000000000004</v>
      </c>
      <c r="AG7" s="4">
        <v>5.5</v>
      </c>
      <c r="AH7" s="10">
        <v>25</v>
      </c>
    </row>
    <row r="8" spans="1:34" ht="15.6" x14ac:dyDescent="0.3">
      <c r="A8" s="16" t="s">
        <v>18</v>
      </c>
      <c r="B8" s="10">
        <v>22</v>
      </c>
      <c r="C8" s="11">
        <v>15</v>
      </c>
      <c r="D8" s="25">
        <v>13</v>
      </c>
      <c r="E8" s="10">
        <v>10</v>
      </c>
      <c r="F8" s="25">
        <v>4</v>
      </c>
      <c r="G8" s="10">
        <v>4</v>
      </c>
      <c r="H8" s="10">
        <v>19</v>
      </c>
      <c r="I8" s="11">
        <v>14</v>
      </c>
      <c r="J8" s="10">
        <v>21</v>
      </c>
      <c r="K8" s="10">
        <v>24</v>
      </c>
      <c r="L8" s="10">
        <v>32</v>
      </c>
      <c r="M8" s="10">
        <v>23</v>
      </c>
      <c r="N8" s="4">
        <v>8.1</v>
      </c>
      <c r="O8" s="4">
        <v>8.6</v>
      </c>
      <c r="P8" s="10">
        <v>29</v>
      </c>
      <c r="S8" s="16" t="s">
        <v>31</v>
      </c>
      <c r="T8" s="10">
        <v>23</v>
      </c>
      <c r="U8" s="11">
        <v>21</v>
      </c>
      <c r="V8" s="25">
        <v>18</v>
      </c>
      <c r="W8" s="10">
        <v>14</v>
      </c>
      <c r="X8" s="25">
        <v>7</v>
      </c>
      <c r="Y8" s="10">
        <v>6</v>
      </c>
      <c r="Z8" s="10">
        <v>17</v>
      </c>
      <c r="AA8" s="11">
        <v>12</v>
      </c>
      <c r="AB8" s="10">
        <v>19</v>
      </c>
      <c r="AC8" s="10">
        <v>22</v>
      </c>
      <c r="AD8" s="10">
        <v>34</v>
      </c>
      <c r="AE8" s="10">
        <v>34</v>
      </c>
      <c r="AF8" s="4">
        <v>4</v>
      </c>
      <c r="AG8" s="4">
        <v>3.7</v>
      </c>
      <c r="AH8" s="10">
        <v>27</v>
      </c>
    </row>
    <row r="9" spans="1:34" ht="15.6" x14ac:dyDescent="0.3">
      <c r="A9" s="16" t="s">
        <v>9</v>
      </c>
      <c r="B9" s="10">
        <v>27</v>
      </c>
      <c r="C9" s="11">
        <v>13</v>
      </c>
      <c r="D9" s="25">
        <v>9</v>
      </c>
      <c r="E9" s="10">
        <v>8</v>
      </c>
      <c r="F9" s="25">
        <v>9</v>
      </c>
      <c r="G9" s="10">
        <v>9</v>
      </c>
      <c r="H9" s="10">
        <v>21</v>
      </c>
      <c r="I9" s="11">
        <v>12</v>
      </c>
      <c r="J9" s="10">
        <v>17</v>
      </c>
      <c r="K9" s="10">
        <v>22</v>
      </c>
      <c r="L9" s="10">
        <v>27</v>
      </c>
      <c r="M9" s="10">
        <v>28</v>
      </c>
      <c r="N9" s="4">
        <v>2.9</v>
      </c>
      <c r="O9" s="4">
        <v>2.7</v>
      </c>
      <c r="P9" s="10">
        <v>24</v>
      </c>
      <c r="S9" s="16" t="s">
        <v>20</v>
      </c>
      <c r="T9" s="10">
        <v>26</v>
      </c>
      <c r="U9" s="11">
        <v>9</v>
      </c>
      <c r="V9" s="25">
        <v>14</v>
      </c>
      <c r="W9" s="10">
        <v>2</v>
      </c>
      <c r="X9" s="25">
        <v>9</v>
      </c>
      <c r="Y9" s="10">
        <v>1</v>
      </c>
      <c r="Z9" s="10">
        <v>22</v>
      </c>
      <c r="AA9" s="11">
        <v>4</v>
      </c>
      <c r="AB9" s="10">
        <v>11</v>
      </c>
      <c r="AC9" s="10">
        <v>26</v>
      </c>
      <c r="AD9" s="10">
        <v>34</v>
      </c>
      <c r="AE9" s="10">
        <v>27</v>
      </c>
      <c r="AF9" s="4">
        <v>2.6</v>
      </c>
      <c r="AG9" s="4">
        <v>0</v>
      </c>
      <c r="AH9" s="10">
        <v>32</v>
      </c>
    </row>
    <row r="10" spans="1:34" ht="15.6" x14ac:dyDescent="0.3">
      <c r="A10" s="16" t="s">
        <v>10</v>
      </c>
      <c r="B10" s="10">
        <v>16</v>
      </c>
      <c r="C10" s="11">
        <v>9</v>
      </c>
      <c r="D10" s="25">
        <v>11</v>
      </c>
      <c r="E10" s="10">
        <v>5</v>
      </c>
      <c r="F10" s="25">
        <v>5</v>
      </c>
      <c r="G10" s="10">
        <v>3</v>
      </c>
      <c r="H10" s="10">
        <v>15</v>
      </c>
      <c r="I10" s="11">
        <v>19</v>
      </c>
      <c r="J10" s="10">
        <v>19</v>
      </c>
      <c r="K10" s="10">
        <v>21</v>
      </c>
      <c r="L10" s="10">
        <v>25</v>
      </c>
      <c r="M10" s="10">
        <v>20</v>
      </c>
      <c r="N10" s="4">
        <v>7.8</v>
      </c>
      <c r="O10" s="4">
        <v>6.8</v>
      </c>
      <c r="P10" s="10">
        <v>25</v>
      </c>
      <c r="S10" s="16" t="s">
        <v>21</v>
      </c>
      <c r="T10" s="10">
        <v>29</v>
      </c>
      <c r="U10" s="11">
        <v>3</v>
      </c>
      <c r="V10" s="25">
        <v>9</v>
      </c>
      <c r="W10" s="10">
        <v>6</v>
      </c>
      <c r="X10" s="25">
        <v>5</v>
      </c>
      <c r="Y10" s="10">
        <v>3</v>
      </c>
      <c r="Z10" s="10">
        <v>21</v>
      </c>
      <c r="AA10" s="11">
        <v>8</v>
      </c>
      <c r="AB10" s="10">
        <v>11</v>
      </c>
      <c r="AC10" s="10">
        <v>25</v>
      </c>
      <c r="AD10" s="10">
        <v>27</v>
      </c>
      <c r="AE10" s="10">
        <v>29</v>
      </c>
      <c r="AF10" s="4">
        <v>10</v>
      </c>
      <c r="AG10" s="4">
        <v>0</v>
      </c>
      <c r="AH10" s="10">
        <v>29</v>
      </c>
    </row>
    <row r="11" spans="1:34" ht="15.6" x14ac:dyDescent="0.3">
      <c r="A11" s="16" t="s">
        <v>11</v>
      </c>
      <c r="B11" s="10">
        <v>21</v>
      </c>
      <c r="C11" s="11">
        <v>17</v>
      </c>
      <c r="D11" s="25">
        <v>9</v>
      </c>
      <c r="E11" s="10">
        <v>10</v>
      </c>
      <c r="F11" s="25">
        <v>8</v>
      </c>
      <c r="G11" s="10">
        <v>5</v>
      </c>
      <c r="H11" s="10">
        <v>16</v>
      </c>
      <c r="I11" s="10">
        <v>7</v>
      </c>
      <c r="J11" s="10">
        <v>12</v>
      </c>
      <c r="K11" s="10">
        <v>24</v>
      </c>
      <c r="L11" s="10">
        <v>33</v>
      </c>
      <c r="M11" s="10">
        <v>31</v>
      </c>
      <c r="N11" s="4">
        <v>4.9000000000000004</v>
      </c>
      <c r="O11" s="4">
        <v>2.2999999999999998</v>
      </c>
      <c r="P11" s="10">
        <v>32</v>
      </c>
      <c r="S11" s="16" t="s">
        <v>32</v>
      </c>
      <c r="T11" s="10">
        <v>28</v>
      </c>
      <c r="U11" s="11">
        <v>14</v>
      </c>
      <c r="V11" s="25">
        <v>11</v>
      </c>
      <c r="W11" s="10">
        <v>12</v>
      </c>
      <c r="X11" s="25">
        <v>6</v>
      </c>
      <c r="Y11" s="10">
        <v>4</v>
      </c>
      <c r="Z11" s="10">
        <v>19</v>
      </c>
      <c r="AA11" s="11">
        <v>15</v>
      </c>
      <c r="AB11" s="10">
        <v>18</v>
      </c>
      <c r="AC11" s="10">
        <v>22</v>
      </c>
      <c r="AD11" s="10">
        <v>33</v>
      </c>
      <c r="AE11" s="10">
        <v>31</v>
      </c>
      <c r="AF11" s="4">
        <v>1.1000000000000001</v>
      </c>
      <c r="AG11" s="4">
        <v>0</v>
      </c>
      <c r="AH11" s="10">
        <v>25</v>
      </c>
    </row>
    <row r="12" spans="1:34" ht="15.6" x14ac:dyDescent="0.3">
      <c r="A12" s="16" t="s">
        <v>12</v>
      </c>
      <c r="B12" s="10">
        <v>25</v>
      </c>
      <c r="C12" s="11">
        <v>13</v>
      </c>
      <c r="D12" s="25">
        <v>11</v>
      </c>
      <c r="E12" s="10">
        <v>1</v>
      </c>
      <c r="F12" s="25">
        <v>5</v>
      </c>
      <c r="G12" s="10">
        <v>1</v>
      </c>
      <c r="H12" s="10">
        <v>20</v>
      </c>
      <c r="I12" s="11">
        <v>7</v>
      </c>
      <c r="J12" s="10">
        <v>15</v>
      </c>
      <c r="K12" s="10">
        <v>28</v>
      </c>
      <c r="L12" s="10">
        <v>30</v>
      </c>
      <c r="M12" s="10">
        <v>16</v>
      </c>
      <c r="N12" s="4">
        <v>7.8</v>
      </c>
      <c r="O12" s="4">
        <v>4.5999999999999996</v>
      </c>
      <c r="P12" s="10">
        <v>29</v>
      </c>
      <c r="S12" s="16" t="s">
        <v>22</v>
      </c>
      <c r="T12" s="10">
        <v>31</v>
      </c>
      <c r="U12" s="11">
        <v>22</v>
      </c>
      <c r="V12" s="25">
        <v>10</v>
      </c>
      <c r="W12" s="10">
        <v>5</v>
      </c>
      <c r="X12" s="25">
        <v>8</v>
      </c>
      <c r="Y12" s="10">
        <v>2</v>
      </c>
      <c r="Z12" s="10">
        <v>22</v>
      </c>
      <c r="AA12" s="11">
        <v>4</v>
      </c>
      <c r="AB12" s="10">
        <v>10</v>
      </c>
      <c r="AC12" s="10">
        <v>19</v>
      </c>
      <c r="AD12" s="10">
        <v>31</v>
      </c>
      <c r="AE12" s="10">
        <v>34</v>
      </c>
      <c r="AF12" s="4">
        <v>5.3</v>
      </c>
      <c r="AG12" s="4">
        <v>3.6</v>
      </c>
      <c r="AH12" s="10">
        <v>28</v>
      </c>
    </row>
    <row r="13" spans="1:34" ht="15.6" x14ac:dyDescent="0.3">
      <c r="A13" s="16" t="s">
        <v>13</v>
      </c>
      <c r="B13" s="10">
        <v>26</v>
      </c>
      <c r="C13" s="11">
        <v>16</v>
      </c>
      <c r="D13" s="25">
        <v>7</v>
      </c>
      <c r="E13" s="10">
        <v>4</v>
      </c>
      <c r="F13" s="25">
        <v>8</v>
      </c>
      <c r="G13" s="10">
        <v>2</v>
      </c>
      <c r="H13" s="10">
        <v>17</v>
      </c>
      <c r="I13" s="11">
        <v>16</v>
      </c>
      <c r="J13" s="10">
        <v>19</v>
      </c>
      <c r="K13" s="10">
        <v>19</v>
      </c>
      <c r="L13" s="10">
        <v>33</v>
      </c>
      <c r="M13" s="10">
        <v>34</v>
      </c>
      <c r="N13" s="4">
        <v>4.5</v>
      </c>
      <c r="O13" s="4">
        <v>5.0999999999999996</v>
      </c>
      <c r="P13" s="10">
        <v>22</v>
      </c>
      <c r="S13" s="16" t="s">
        <v>24</v>
      </c>
      <c r="T13" s="10">
        <v>24</v>
      </c>
      <c r="U13" s="11">
        <v>15</v>
      </c>
      <c r="V13" s="25">
        <v>12</v>
      </c>
      <c r="W13" s="10">
        <v>9</v>
      </c>
      <c r="X13" s="25">
        <v>6</v>
      </c>
      <c r="Y13" s="10">
        <v>5</v>
      </c>
      <c r="Z13" s="10">
        <v>18</v>
      </c>
      <c r="AA13" s="11">
        <v>4</v>
      </c>
      <c r="AB13" s="10">
        <v>17</v>
      </c>
      <c r="AC13" s="10">
        <v>22</v>
      </c>
      <c r="AD13" s="10">
        <v>33</v>
      </c>
      <c r="AE13" s="10">
        <v>30</v>
      </c>
      <c r="AF13" s="4">
        <v>7.1</v>
      </c>
      <c r="AG13" s="4">
        <v>0</v>
      </c>
      <c r="AH13" s="10">
        <v>25</v>
      </c>
    </row>
    <row r="14" spans="1:34" ht="15.6" x14ac:dyDescent="0.3">
      <c r="A14" s="16" t="s">
        <v>4</v>
      </c>
      <c r="B14" s="10">
        <v>18</v>
      </c>
      <c r="C14" s="11">
        <v>5</v>
      </c>
      <c r="D14" s="25">
        <v>11</v>
      </c>
      <c r="E14" s="10">
        <v>8</v>
      </c>
      <c r="F14" s="25">
        <v>7</v>
      </c>
      <c r="G14" s="10">
        <v>5</v>
      </c>
      <c r="H14" s="10">
        <v>17</v>
      </c>
      <c r="I14" s="11">
        <v>6</v>
      </c>
      <c r="J14" s="10">
        <v>20</v>
      </c>
      <c r="K14" s="10">
        <v>25</v>
      </c>
      <c r="L14" s="10">
        <v>28</v>
      </c>
      <c r="M14" s="10">
        <v>18</v>
      </c>
      <c r="N14" s="4">
        <v>7.2</v>
      </c>
      <c r="O14" s="4">
        <v>3.4</v>
      </c>
      <c r="P14" s="10">
        <v>32</v>
      </c>
      <c r="S14" s="16" t="s">
        <v>25</v>
      </c>
      <c r="T14" s="10">
        <v>28</v>
      </c>
      <c r="U14" s="11">
        <v>12</v>
      </c>
      <c r="V14" s="25">
        <v>15</v>
      </c>
      <c r="W14" s="10">
        <v>5</v>
      </c>
      <c r="X14" s="25">
        <v>7</v>
      </c>
      <c r="Y14" s="10">
        <v>0</v>
      </c>
      <c r="Z14" s="10">
        <v>19</v>
      </c>
      <c r="AA14" s="11">
        <v>4</v>
      </c>
      <c r="AB14" s="10">
        <v>16</v>
      </c>
      <c r="AC14" s="10">
        <v>26</v>
      </c>
      <c r="AD14" s="10">
        <v>31</v>
      </c>
      <c r="AE14" s="10">
        <v>21</v>
      </c>
      <c r="AF14" s="4">
        <v>2.1</v>
      </c>
      <c r="AG14" s="4">
        <v>2</v>
      </c>
      <c r="AH14" s="10">
        <v>32</v>
      </c>
    </row>
    <row r="15" spans="1:34" ht="15.6" x14ac:dyDescent="0.3">
      <c r="A15" s="16" t="s">
        <v>5</v>
      </c>
      <c r="B15" s="10">
        <v>25</v>
      </c>
      <c r="C15" s="11">
        <v>24</v>
      </c>
      <c r="D15" s="25">
        <v>11</v>
      </c>
      <c r="E15" s="10">
        <v>5</v>
      </c>
      <c r="F15" s="25">
        <v>8</v>
      </c>
      <c r="G15" s="10">
        <v>10</v>
      </c>
      <c r="H15" s="10">
        <v>18</v>
      </c>
      <c r="I15" s="11">
        <v>18</v>
      </c>
      <c r="J15" s="10">
        <v>10</v>
      </c>
      <c r="K15" s="10">
        <v>18</v>
      </c>
      <c r="L15" s="10">
        <v>33</v>
      </c>
      <c r="M15" s="10">
        <v>23</v>
      </c>
      <c r="N15" s="4">
        <v>2</v>
      </c>
      <c r="O15" s="4">
        <v>1.8</v>
      </c>
      <c r="P15" s="10">
        <v>25</v>
      </c>
      <c r="S15" s="16" t="s">
        <v>26</v>
      </c>
      <c r="T15" s="10">
        <v>25</v>
      </c>
      <c r="U15" s="11">
        <v>7</v>
      </c>
      <c r="V15" s="25">
        <v>16</v>
      </c>
      <c r="W15" s="10">
        <v>5</v>
      </c>
      <c r="X15" s="25">
        <v>6</v>
      </c>
      <c r="Y15" s="10">
        <v>2</v>
      </c>
      <c r="Z15" s="10">
        <v>21</v>
      </c>
      <c r="AA15" s="11">
        <v>12</v>
      </c>
      <c r="AB15" s="10">
        <v>12</v>
      </c>
      <c r="AC15" s="10">
        <v>17</v>
      </c>
      <c r="AD15" s="10">
        <v>27</v>
      </c>
      <c r="AE15" s="10">
        <v>13</v>
      </c>
      <c r="AF15" s="4">
        <v>1.7</v>
      </c>
      <c r="AG15" s="4">
        <v>0</v>
      </c>
      <c r="AH15" s="10">
        <v>30</v>
      </c>
    </row>
    <row r="16" spans="1:34" ht="15.6" x14ac:dyDescent="0.3">
      <c r="A16" s="16" t="s">
        <v>6</v>
      </c>
      <c r="B16" s="10">
        <v>29</v>
      </c>
      <c r="C16" s="11">
        <v>28</v>
      </c>
      <c r="D16" s="25">
        <v>13</v>
      </c>
      <c r="E16" s="10">
        <v>12</v>
      </c>
      <c r="F16" s="25">
        <v>3</v>
      </c>
      <c r="G16" s="10">
        <v>6</v>
      </c>
      <c r="H16" s="10">
        <v>17</v>
      </c>
      <c r="I16" s="11">
        <v>7</v>
      </c>
      <c r="J16" s="10">
        <v>18</v>
      </c>
      <c r="K16" s="10">
        <v>24</v>
      </c>
      <c r="L16" s="10">
        <v>33</v>
      </c>
      <c r="M16" s="10">
        <v>31</v>
      </c>
      <c r="N16" s="4">
        <v>1.8</v>
      </c>
      <c r="O16" s="4">
        <v>7</v>
      </c>
      <c r="P16" s="10">
        <v>28</v>
      </c>
      <c r="S16" s="16" t="s">
        <v>27</v>
      </c>
      <c r="T16" s="10">
        <v>29</v>
      </c>
      <c r="U16" s="11">
        <v>13</v>
      </c>
      <c r="V16" s="25">
        <v>5</v>
      </c>
      <c r="W16" s="10">
        <v>4</v>
      </c>
      <c r="X16" s="25">
        <v>11</v>
      </c>
      <c r="Y16" s="10">
        <v>5</v>
      </c>
      <c r="Z16" s="10">
        <v>17</v>
      </c>
      <c r="AA16" s="11">
        <v>14</v>
      </c>
      <c r="AB16" s="10">
        <v>19</v>
      </c>
      <c r="AC16" s="10">
        <v>17</v>
      </c>
      <c r="AD16" s="10">
        <v>33</v>
      </c>
      <c r="AE16" s="10">
        <v>31</v>
      </c>
      <c r="AF16" s="4">
        <v>10</v>
      </c>
      <c r="AG16" s="4">
        <v>0</v>
      </c>
      <c r="AH16" s="10">
        <v>29</v>
      </c>
    </row>
    <row r="17" spans="1:34" ht="15.6" x14ac:dyDescent="0.3">
      <c r="A17" s="16" t="s">
        <v>7</v>
      </c>
      <c r="B17" s="10">
        <v>31</v>
      </c>
      <c r="C17" s="11">
        <v>13</v>
      </c>
      <c r="D17" s="25">
        <v>11</v>
      </c>
      <c r="E17" s="10">
        <v>12</v>
      </c>
      <c r="F17" s="25">
        <v>8</v>
      </c>
      <c r="G17" s="10">
        <v>6</v>
      </c>
      <c r="H17" s="10">
        <v>21</v>
      </c>
      <c r="I17" s="11">
        <v>18</v>
      </c>
      <c r="J17" s="10">
        <v>15</v>
      </c>
      <c r="K17" s="10">
        <v>16</v>
      </c>
      <c r="L17" s="10">
        <v>32</v>
      </c>
      <c r="M17" s="10">
        <v>33</v>
      </c>
      <c r="N17" s="4">
        <v>3.6</v>
      </c>
      <c r="O17" s="4">
        <v>3.6</v>
      </c>
      <c r="P17" s="10">
        <v>28</v>
      </c>
      <c r="S17" s="21"/>
      <c r="T17" s="10"/>
      <c r="U17" s="10"/>
      <c r="V17" s="10"/>
      <c r="W17" s="10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spans="1:34" ht="15.6" x14ac:dyDescent="0.3">
      <c r="A18" s="16" t="s">
        <v>8</v>
      </c>
      <c r="B18" s="10">
        <v>24</v>
      </c>
      <c r="C18" s="11">
        <v>18</v>
      </c>
      <c r="D18" s="25">
        <v>7</v>
      </c>
      <c r="E18" s="10">
        <v>7</v>
      </c>
      <c r="F18" s="25">
        <v>10</v>
      </c>
      <c r="G18" s="10">
        <v>9</v>
      </c>
      <c r="H18" s="10">
        <v>20</v>
      </c>
      <c r="I18" s="11">
        <v>18</v>
      </c>
      <c r="J18" s="10">
        <v>14</v>
      </c>
      <c r="K18" s="10">
        <v>17</v>
      </c>
      <c r="L18" s="10">
        <v>25</v>
      </c>
      <c r="M18" s="10">
        <v>16</v>
      </c>
      <c r="N18" s="4">
        <v>3.2</v>
      </c>
      <c r="O18" s="4">
        <v>1.4</v>
      </c>
      <c r="P18" s="10">
        <v>23</v>
      </c>
      <c r="S18" s="21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spans="1:34" x14ac:dyDescent="0.3">
      <c r="A19" s="21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S19" s="5" t="s">
        <v>1</v>
      </c>
      <c r="T19" s="6">
        <f t="shared" ref="T19:AH19" si="0">AVERAGE(T2:T17)</f>
        <v>25.285714285714285</v>
      </c>
      <c r="U19" s="6">
        <f t="shared" si="0"/>
        <v>12.785714285714286</v>
      </c>
      <c r="V19" s="6">
        <f t="shared" si="0"/>
        <v>12.214285714285714</v>
      </c>
      <c r="W19" s="6">
        <f t="shared" si="0"/>
        <v>7.6428571428571432</v>
      </c>
      <c r="X19" s="6">
        <f t="shared" si="0"/>
        <v>7.5714285714285712</v>
      </c>
      <c r="Y19" s="6">
        <f t="shared" si="0"/>
        <v>3.7142857142857144</v>
      </c>
      <c r="Z19" s="6">
        <f t="shared" si="0"/>
        <v>19.857142857142858</v>
      </c>
      <c r="AA19" s="6">
        <f t="shared" si="0"/>
        <v>9</v>
      </c>
      <c r="AB19" s="6">
        <f t="shared" si="0"/>
        <v>15.571428571428571</v>
      </c>
      <c r="AC19" s="6">
        <f t="shared" si="0"/>
        <v>22</v>
      </c>
      <c r="AD19" s="6">
        <f t="shared" si="0"/>
        <v>29.5</v>
      </c>
      <c r="AE19" s="6">
        <f t="shared" si="0"/>
        <v>26.642857142857142</v>
      </c>
      <c r="AF19" s="6">
        <f t="shared" si="0"/>
        <v>4.7714285714285722</v>
      </c>
      <c r="AG19" s="6">
        <f t="shared" si="0"/>
        <v>1.4928571428571431</v>
      </c>
      <c r="AH19" s="6">
        <f t="shared" si="0"/>
        <v>28.357142857142858</v>
      </c>
    </row>
    <row r="20" spans="1:34" x14ac:dyDescent="0.3">
      <c r="A20" s="5" t="s">
        <v>1</v>
      </c>
      <c r="B20" s="6">
        <f t="shared" ref="B20:P20" si="1">AVERAGE(B3:B18)</f>
        <v>23.266666666666666</v>
      </c>
      <c r="C20" s="6">
        <f t="shared" si="1"/>
        <v>16.466666666666665</v>
      </c>
      <c r="D20" s="6">
        <f t="shared" si="1"/>
        <v>10.4</v>
      </c>
      <c r="E20" s="6">
        <f t="shared" si="1"/>
        <v>8</v>
      </c>
      <c r="F20" s="6">
        <f t="shared" si="1"/>
        <v>6.666666666666667</v>
      </c>
      <c r="G20" s="6">
        <f t="shared" si="1"/>
        <v>5.333333333333333</v>
      </c>
      <c r="H20" s="6">
        <f t="shared" si="1"/>
        <v>18.066666666666666</v>
      </c>
      <c r="I20" s="6">
        <f t="shared" si="1"/>
        <v>13.2</v>
      </c>
      <c r="J20" s="6">
        <f t="shared" si="1"/>
        <v>16.466666666666665</v>
      </c>
      <c r="K20" s="6">
        <f t="shared" si="1"/>
        <v>21.533333333333335</v>
      </c>
      <c r="L20" s="6">
        <f t="shared" si="1"/>
        <v>30.4</v>
      </c>
      <c r="M20" s="6">
        <f t="shared" si="1"/>
        <v>25.866666666666667</v>
      </c>
      <c r="N20" s="6">
        <f t="shared" si="1"/>
        <v>4.6866666666666665</v>
      </c>
      <c r="O20" s="6">
        <f t="shared" si="1"/>
        <v>3.8866666666666663</v>
      </c>
      <c r="P20" s="6">
        <f t="shared" si="1"/>
        <v>26.2</v>
      </c>
      <c r="S20" s="5" t="s">
        <v>2</v>
      </c>
      <c r="T20" s="6">
        <f>_xlfn.STDEV.S(T3:T16)</f>
        <v>4.7300767830582195</v>
      </c>
      <c r="U20" s="6">
        <f t="shared" ref="U20:AH20" si="2">_xlfn.STDEV.S(U2:U17)</f>
        <v>5.308607979623158</v>
      </c>
      <c r="V20" s="6">
        <f t="shared" si="2"/>
        <v>3.7247317183424578</v>
      </c>
      <c r="W20" s="6">
        <f t="shared" si="2"/>
        <v>3.6502295577368584</v>
      </c>
      <c r="X20" s="6">
        <f t="shared" si="2"/>
        <v>2.0648816585306444</v>
      </c>
      <c r="Y20" s="6">
        <f t="shared" si="2"/>
        <v>2.0542103640523819</v>
      </c>
      <c r="Z20" s="6">
        <f t="shared" si="2"/>
        <v>1.6574838603294895</v>
      </c>
      <c r="AA20" s="6">
        <f t="shared" si="2"/>
        <v>4.0572821520740288</v>
      </c>
      <c r="AB20" s="6">
        <f t="shared" si="2"/>
        <v>3.5887492081672256</v>
      </c>
      <c r="AC20" s="6">
        <f t="shared" si="2"/>
        <v>3.3050078552216671</v>
      </c>
      <c r="AD20" s="6">
        <f t="shared" si="2"/>
        <v>4.0903262988139746</v>
      </c>
      <c r="AE20" s="6">
        <f t="shared" si="2"/>
        <v>5.8914167403767363</v>
      </c>
      <c r="AF20" s="6">
        <f t="shared" si="2"/>
        <v>3.1435963166726406</v>
      </c>
      <c r="AG20" s="6">
        <f t="shared" si="2"/>
        <v>2.0886006672537345</v>
      </c>
      <c r="AH20" s="6">
        <f t="shared" si="2"/>
        <v>2.3405174594567715</v>
      </c>
    </row>
    <row r="21" spans="1:34" x14ac:dyDescent="0.3">
      <c r="A21" s="5" t="s">
        <v>2</v>
      </c>
      <c r="B21" s="6">
        <f t="shared" ref="B21:P21" si="3">_xlfn.STDEV.S(B3:B18)</f>
        <v>4.199773236508757</v>
      </c>
      <c r="C21" s="6">
        <f t="shared" si="3"/>
        <v>6.0811966240989417</v>
      </c>
      <c r="D21" s="6">
        <f t="shared" si="3"/>
        <v>2.1313979316066574</v>
      </c>
      <c r="E21" s="6">
        <f t="shared" si="3"/>
        <v>3.2732683535398857</v>
      </c>
      <c r="F21" s="6">
        <f t="shared" si="3"/>
        <v>2.2253945610567478</v>
      </c>
      <c r="G21" s="6">
        <f t="shared" si="3"/>
        <v>2.8949874578229835</v>
      </c>
      <c r="H21" s="6">
        <f t="shared" si="3"/>
        <v>1.9808608037440512</v>
      </c>
      <c r="I21" s="6">
        <f t="shared" si="3"/>
        <v>4.9164447084685676</v>
      </c>
      <c r="J21" s="6">
        <f t="shared" si="3"/>
        <v>3.0441200151548973</v>
      </c>
      <c r="K21" s="6">
        <f t="shared" si="3"/>
        <v>3.583028779970272</v>
      </c>
      <c r="L21" s="6">
        <f t="shared" si="3"/>
        <v>3.1121880222303866</v>
      </c>
      <c r="M21" s="6">
        <f t="shared" si="3"/>
        <v>6.1396447857541494</v>
      </c>
      <c r="N21" s="6">
        <f t="shared" si="3"/>
        <v>2.6262049388713722</v>
      </c>
      <c r="O21" s="6">
        <f t="shared" si="3"/>
        <v>2.2080588328945874</v>
      </c>
      <c r="P21" s="6">
        <f t="shared" si="3"/>
        <v>3.3209293019532051</v>
      </c>
      <c r="AH21" s="26" t="s">
        <v>68</v>
      </c>
    </row>
    <row r="22" spans="1:34" x14ac:dyDescent="0.3">
      <c r="P22" s="26" t="s">
        <v>68</v>
      </c>
      <c r="AH22" s="27">
        <f>9/14</f>
        <v>0.6428571428571429</v>
      </c>
    </row>
    <row r="23" spans="1:34" x14ac:dyDescent="0.3">
      <c r="P23" s="27">
        <f>6/15</f>
        <v>0.4</v>
      </c>
      <c r="AH23" s="26" t="s">
        <v>69</v>
      </c>
    </row>
    <row r="24" spans="1:34" x14ac:dyDescent="0.3">
      <c r="P24" s="26" t="s">
        <v>69</v>
      </c>
      <c r="AH24" s="27">
        <f>5/14</f>
        <v>0.35714285714285715</v>
      </c>
    </row>
    <row r="25" spans="1:34" x14ac:dyDescent="0.3">
      <c r="P25" s="27">
        <f>7/15</f>
        <v>0.46666666666666667</v>
      </c>
      <c r="AH25" s="26" t="s">
        <v>70</v>
      </c>
    </row>
    <row r="26" spans="1:34" x14ac:dyDescent="0.3">
      <c r="P26" s="26" t="s">
        <v>70</v>
      </c>
      <c r="AH26" s="27">
        <v>0</v>
      </c>
    </row>
    <row r="27" spans="1:34" x14ac:dyDescent="0.3">
      <c r="P27" s="27">
        <f>2/15</f>
        <v>0.13333333333333333</v>
      </c>
      <c r="AH27" s="26" t="s">
        <v>71</v>
      </c>
    </row>
    <row r="28" spans="1:34" x14ac:dyDescent="0.3">
      <c r="P28" s="26" t="s">
        <v>71</v>
      </c>
      <c r="AH28" s="28">
        <f>AH22-AH26</f>
        <v>0.6428571428571429</v>
      </c>
    </row>
    <row r="29" spans="1:34" x14ac:dyDescent="0.3">
      <c r="P29" s="28">
        <f>P23-P27</f>
        <v>0.26666666666666672</v>
      </c>
    </row>
  </sheetData>
  <mergeCells count="15">
    <mergeCell ref="B2:C2"/>
    <mergeCell ref="D2:E2"/>
    <mergeCell ref="T1:U1"/>
    <mergeCell ref="V1:W1"/>
    <mergeCell ref="AF1:AG1"/>
    <mergeCell ref="F2:G2"/>
    <mergeCell ref="H2:I2"/>
    <mergeCell ref="J2:K2"/>
    <mergeCell ref="L2:M2"/>
    <mergeCell ref="N2:O2"/>
    <mergeCell ref="B1:P1"/>
    <mergeCell ref="X1:Y1"/>
    <mergeCell ref="Z1:AA1"/>
    <mergeCell ref="AB1:AC1"/>
    <mergeCell ref="AD1:A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E5CEF-9978-48F1-8B7F-AEBCDB80AFD2}">
  <dimension ref="A1:G20"/>
  <sheetViews>
    <sheetView workbookViewId="0">
      <selection activeCell="E4" activeCellId="1" sqref="A4:A16 E4:E13"/>
    </sheetView>
  </sheetViews>
  <sheetFormatPr baseColWidth="10" defaultRowHeight="14.4" x14ac:dyDescent="0.3"/>
  <cols>
    <col min="2" max="2" width="14.6640625" bestFit="1" customWidth="1"/>
  </cols>
  <sheetData>
    <row r="1" spans="1:7" x14ac:dyDescent="0.3">
      <c r="B1" s="39" t="s">
        <v>3</v>
      </c>
      <c r="C1" s="39"/>
      <c r="D1" s="23"/>
      <c r="F1" s="39" t="s">
        <v>0</v>
      </c>
      <c r="G1" s="39"/>
    </row>
    <row r="2" spans="1:7" ht="15.6" x14ac:dyDescent="0.3">
      <c r="B2" s="44" t="s">
        <v>42</v>
      </c>
      <c r="C2" s="44"/>
      <c r="D2" s="22"/>
      <c r="F2" s="44" t="s">
        <v>42</v>
      </c>
      <c r="G2" s="44"/>
    </row>
    <row r="3" spans="1:7" ht="15.6" x14ac:dyDescent="0.3">
      <c r="B3" s="10" t="s">
        <v>44</v>
      </c>
      <c r="C3" s="10" t="s">
        <v>45</v>
      </c>
      <c r="D3" s="8"/>
      <c r="F3" s="34" t="s">
        <v>44</v>
      </c>
      <c r="G3" s="34" t="s">
        <v>45</v>
      </c>
    </row>
    <row r="4" spans="1:7" ht="15.6" x14ac:dyDescent="0.3">
      <c r="A4" s="36" t="s">
        <v>6</v>
      </c>
      <c r="B4" s="29">
        <v>68.115482485616795</v>
      </c>
      <c r="C4" s="29">
        <v>60.711825160224898</v>
      </c>
      <c r="D4" s="32"/>
      <c r="E4" s="37" t="s">
        <v>19</v>
      </c>
      <c r="F4" s="29">
        <v>99.440523163642013</v>
      </c>
      <c r="G4" s="29">
        <v>124.87612612104799</v>
      </c>
    </row>
    <row r="5" spans="1:7" ht="15.6" x14ac:dyDescent="0.3">
      <c r="A5" s="36" t="s">
        <v>5</v>
      </c>
      <c r="B5" s="29">
        <v>57.452649169135199</v>
      </c>
      <c r="C5" s="29">
        <v>61.0996099632587</v>
      </c>
      <c r="D5" s="32"/>
      <c r="E5" s="37" t="s">
        <v>23</v>
      </c>
      <c r="F5" s="29">
        <v>43.018957237689804</v>
      </c>
      <c r="G5" s="29">
        <v>46.284291094217302</v>
      </c>
    </row>
    <row r="6" spans="1:7" ht="15.6" x14ac:dyDescent="0.3">
      <c r="A6" s="36" t="s">
        <v>7</v>
      </c>
      <c r="B6" s="29">
        <v>40.732539222994603</v>
      </c>
      <c r="C6" s="29">
        <v>49.175572531470401</v>
      </c>
      <c r="D6" s="32"/>
      <c r="E6" s="37" t="s">
        <v>21</v>
      </c>
      <c r="F6" s="29">
        <v>27.747872791340999</v>
      </c>
      <c r="G6" s="29">
        <v>30.454078693845098</v>
      </c>
    </row>
    <row r="7" spans="1:7" ht="15.6" x14ac:dyDescent="0.3">
      <c r="A7" s="36" t="s">
        <v>4</v>
      </c>
      <c r="B7" s="29">
        <v>31.058707508553997</v>
      </c>
      <c r="C7" s="29">
        <v>30.0032126793838</v>
      </c>
      <c r="D7" s="32"/>
      <c r="E7" s="37" t="s">
        <v>20</v>
      </c>
      <c r="F7" s="29">
        <v>64.111793251306793</v>
      </c>
      <c r="G7" s="29">
        <v>89.336363903468495</v>
      </c>
    </row>
    <row r="8" spans="1:7" ht="15.6" x14ac:dyDescent="0.3">
      <c r="A8" s="36" t="s">
        <v>10</v>
      </c>
      <c r="B8" s="29">
        <v>112.13613378389701</v>
      </c>
      <c r="C8" s="29">
        <v>96.995431960161</v>
      </c>
      <c r="D8" s="32"/>
      <c r="E8" s="38" t="s">
        <v>22</v>
      </c>
      <c r="F8" s="29">
        <v>17.542947873157502</v>
      </c>
      <c r="G8" s="29">
        <v>24.641068219349901</v>
      </c>
    </row>
    <row r="9" spans="1:7" ht="15.6" x14ac:dyDescent="0.3">
      <c r="A9" s="36" t="s">
        <v>12</v>
      </c>
      <c r="B9" s="29">
        <v>36.934075786439699</v>
      </c>
      <c r="C9" s="29">
        <v>49.740520117543902</v>
      </c>
      <c r="D9" s="32"/>
      <c r="E9" s="37" t="s">
        <v>26</v>
      </c>
      <c r="F9" s="29">
        <v>11.3563243038808</v>
      </c>
      <c r="G9" s="29">
        <v>13.8811507759072</v>
      </c>
    </row>
    <row r="10" spans="1:7" ht="15.6" x14ac:dyDescent="0.3">
      <c r="A10" s="36" t="s">
        <v>11</v>
      </c>
      <c r="B10" s="29">
        <v>12.654772160215501</v>
      </c>
      <c r="C10" s="29">
        <v>24.9942850610752</v>
      </c>
      <c r="D10" s="32"/>
      <c r="E10" s="37" t="s">
        <v>27</v>
      </c>
      <c r="F10" s="29">
        <v>72.711898828278905</v>
      </c>
      <c r="G10" s="29">
        <v>111.4951157637</v>
      </c>
    </row>
    <row r="11" spans="1:7" ht="15.6" x14ac:dyDescent="0.3">
      <c r="A11" s="36" t="s">
        <v>9</v>
      </c>
      <c r="B11" s="29">
        <v>48.784804425734301</v>
      </c>
      <c r="C11" s="29">
        <v>53.280582887394495</v>
      </c>
      <c r="D11" s="32"/>
      <c r="E11" s="37" t="s">
        <v>30</v>
      </c>
      <c r="F11" s="29">
        <v>77.101585264258901</v>
      </c>
      <c r="G11" s="29">
        <v>57.8106549280011</v>
      </c>
    </row>
    <row r="12" spans="1:7" ht="15.6" x14ac:dyDescent="0.3">
      <c r="A12" s="36" t="s">
        <v>13</v>
      </c>
      <c r="B12" s="29">
        <v>30.006617627604701</v>
      </c>
      <c r="C12" s="29">
        <v>29.3301023175983</v>
      </c>
      <c r="D12" s="32"/>
      <c r="E12" s="37" t="s">
        <v>29</v>
      </c>
      <c r="F12" s="29">
        <v>27.607567400583797</v>
      </c>
      <c r="G12" s="29">
        <v>38.136681870150198</v>
      </c>
    </row>
    <row r="13" spans="1:7" ht="15.6" x14ac:dyDescent="0.3">
      <c r="A13" s="36" t="s">
        <v>14</v>
      </c>
      <c r="B13" s="29">
        <v>69.254155797598898</v>
      </c>
      <c r="C13" s="29">
        <v>59.124477870803595</v>
      </c>
      <c r="D13" s="32"/>
      <c r="E13" s="37" t="s">
        <v>32</v>
      </c>
      <c r="F13" s="29">
        <v>18.5535106818276</v>
      </c>
      <c r="G13" s="29">
        <v>20.3884648200127</v>
      </c>
    </row>
    <row r="14" spans="1:7" ht="15.6" x14ac:dyDescent="0.3">
      <c r="A14" s="36" t="s">
        <v>17</v>
      </c>
      <c r="B14" s="29">
        <v>22.5816174764511</v>
      </c>
      <c r="C14" s="29">
        <v>36.423633843456699</v>
      </c>
      <c r="D14" s="32"/>
      <c r="E14" s="9"/>
      <c r="F14" s="9"/>
      <c r="G14" s="9"/>
    </row>
    <row r="15" spans="1:7" ht="15.6" x14ac:dyDescent="0.3">
      <c r="A15" s="36" t="s">
        <v>18</v>
      </c>
      <c r="B15" s="29">
        <v>94.228179286715999</v>
      </c>
      <c r="C15" s="29">
        <v>107.794261771271</v>
      </c>
      <c r="D15" s="32"/>
      <c r="E15" s="31" t="s">
        <v>1</v>
      </c>
      <c r="F15" s="30">
        <f>AVERAGE(F4:F13)</f>
        <v>45.919298079596715</v>
      </c>
      <c r="G15" s="30">
        <f>AVERAGE(G4:G13)</f>
        <v>55.73039961896999</v>
      </c>
    </row>
    <row r="16" spans="1:7" ht="15.6" x14ac:dyDescent="0.3">
      <c r="A16" s="36" t="s">
        <v>15</v>
      </c>
      <c r="B16" s="29">
        <v>27.516974907245501</v>
      </c>
      <c r="C16" s="29">
        <v>26.808220236877098</v>
      </c>
      <c r="D16" s="32"/>
      <c r="E16" s="31" t="s">
        <v>2</v>
      </c>
      <c r="F16" s="29">
        <f>_xlfn.STDEV.S(F4:F13)</f>
        <v>30.383295457355391</v>
      </c>
      <c r="G16" s="29">
        <f>_xlfn.STDEV.S(G4:G13)</f>
        <v>39.481559885285449</v>
      </c>
    </row>
    <row r="17" spans="1:6" ht="15.6" x14ac:dyDescent="0.3">
      <c r="A17" s="9"/>
      <c r="B17" s="9"/>
      <c r="C17" s="9"/>
      <c r="E17" s="31" t="s">
        <v>72</v>
      </c>
      <c r="F17" s="35">
        <f>(G15-F15)/F15</f>
        <v>0.21365965835032297</v>
      </c>
    </row>
    <row r="18" spans="1:6" ht="15.6" x14ac:dyDescent="0.3">
      <c r="A18" s="31" t="s">
        <v>1</v>
      </c>
      <c r="B18" s="30">
        <f>AVERAGE(B4:B16)</f>
        <v>50.112054587554098</v>
      </c>
      <c r="C18" s="30">
        <f>AVERAGE(C4:C16)</f>
        <v>52.729364338501462</v>
      </c>
      <c r="D18" s="33"/>
    </row>
    <row r="19" spans="1:6" ht="15.6" x14ac:dyDescent="0.3">
      <c r="A19" s="31" t="s">
        <v>2</v>
      </c>
      <c r="B19" s="29">
        <f>_xlfn.STDEV.S(B4:B16)</f>
        <v>29.211601433042279</v>
      </c>
      <c r="C19" s="29">
        <f>_xlfn.STDEV.S(C4:C16)</f>
        <v>25.753952646334799</v>
      </c>
      <c r="D19" s="32"/>
    </row>
    <row r="20" spans="1:6" ht="15.6" x14ac:dyDescent="0.3">
      <c r="A20" s="31" t="s">
        <v>72</v>
      </c>
      <c r="B20" s="35">
        <f>(C18-B18)/B18</f>
        <v>5.2229144713563637E-2</v>
      </c>
    </row>
  </sheetData>
  <mergeCells count="4">
    <mergeCell ref="B1:C1"/>
    <mergeCell ref="B2:C2"/>
    <mergeCell ref="F1:G1"/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Characteristics</vt:lpstr>
      <vt:lpstr>Cortisol</vt:lpstr>
      <vt:lpstr>Actimetry</vt:lpstr>
      <vt:lpstr>Questionnaires</vt:lpstr>
      <vt:lpstr>HRV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geoffrey millour</dc:creator>
  <cp:lastModifiedBy>geoffrey millour</cp:lastModifiedBy>
  <dcterms:created xsi:type="dcterms:W3CDTF">2015-06-05T18:19:34Z</dcterms:created>
  <dcterms:modified xsi:type="dcterms:W3CDTF">2026-09-15T10:39:22Z</dcterms:modified>
</cp:coreProperties>
</file>